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64011"/>
  <bookViews>
    <workbookView xWindow="0" yWindow="0" windowWidth="25200" windowHeight="11880" activeTab="3"/>
  </bookViews>
  <sheets>
    <sheet name="РК" sheetId="26" r:id="rId1"/>
    <sheet name="г. Астана" sheetId="4" r:id="rId2"/>
    <sheet name="г. Алматы" sheetId="6" r:id="rId3"/>
    <sheet name="г. Шымкент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4" l="1"/>
  <c r="L5" i="4" s="1"/>
  <c r="M5" i="4"/>
  <c r="L36" i="26" l="1"/>
  <c r="M6" i="26"/>
  <c r="M7" i="26"/>
  <c r="M9" i="26"/>
  <c r="M10" i="26"/>
  <c r="M11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4" i="26"/>
  <c r="M35" i="26"/>
  <c r="M36" i="26"/>
  <c r="M38" i="26"/>
  <c r="M39" i="26"/>
  <c r="M40" i="26"/>
  <c r="M41" i="26"/>
  <c r="M42" i="26"/>
  <c r="M43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1" i="26"/>
  <c r="M62" i="26"/>
  <c r="M63" i="26"/>
  <c r="M64" i="26"/>
  <c r="M65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7" i="26"/>
  <c r="M100" i="26"/>
  <c r="M101" i="26"/>
  <c r="M102" i="26"/>
  <c r="M107" i="26"/>
  <c r="M108" i="26"/>
  <c r="M109" i="26"/>
  <c r="M111" i="26"/>
  <c r="M112" i="26"/>
  <c r="M113" i="26"/>
  <c r="M114" i="26"/>
  <c r="M115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L6" i="26"/>
  <c r="L7" i="26"/>
  <c r="L9" i="26"/>
  <c r="L10" i="26"/>
  <c r="L11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4" i="26"/>
  <c r="L35" i="26"/>
  <c r="L38" i="26"/>
  <c r="L39" i="26"/>
  <c r="L40" i="26"/>
  <c r="L41" i="26"/>
  <c r="L42" i="26"/>
  <c r="L43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1" i="26"/>
  <c r="L62" i="26"/>
  <c r="L63" i="26"/>
  <c r="L64" i="26"/>
  <c r="L65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7" i="26"/>
  <c r="L100" i="26"/>
  <c r="L101" i="26"/>
  <c r="L102" i="26"/>
  <c r="L107" i="26"/>
  <c r="L108" i="26"/>
  <c r="L109" i="26"/>
  <c r="L111" i="26"/>
  <c r="L112" i="26"/>
  <c r="L113" i="26"/>
  <c r="L114" i="26"/>
  <c r="L115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K6" i="26"/>
  <c r="K7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4" i="26"/>
  <c r="K35" i="26"/>
  <c r="K36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7" i="26"/>
  <c r="K98" i="26"/>
  <c r="K99" i="26"/>
  <c r="K100" i="26"/>
  <c r="K101" i="26"/>
  <c r="K102" i="26"/>
  <c r="K103" i="26"/>
  <c r="K107" i="26"/>
  <c r="K108" i="26"/>
  <c r="K109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M5" i="26"/>
  <c r="L5" i="26"/>
  <c r="K5" i="26"/>
  <c r="M6" i="6" l="1"/>
  <c r="M7" i="6"/>
  <c r="M9" i="6"/>
  <c r="M10" i="6"/>
  <c r="M11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4" i="6"/>
  <c r="M35" i="6"/>
  <c r="M36" i="6"/>
  <c r="M38" i="6"/>
  <c r="M39" i="6"/>
  <c r="M41" i="6"/>
  <c r="M42" i="6"/>
  <c r="M43" i="6"/>
  <c r="M45" i="6"/>
  <c r="M46" i="6"/>
  <c r="M47" i="6"/>
  <c r="M49" i="6"/>
  <c r="M50" i="6"/>
  <c r="M51" i="6"/>
  <c r="M52" i="6"/>
  <c r="M53" i="6"/>
  <c r="M55" i="6"/>
  <c r="M57" i="6"/>
  <c r="M59" i="6"/>
  <c r="M61" i="6"/>
  <c r="M64" i="6"/>
  <c r="M65" i="6"/>
  <c r="M67" i="6"/>
  <c r="M69" i="6"/>
  <c r="M70" i="6"/>
  <c r="M71" i="6"/>
  <c r="M72" i="6"/>
  <c r="M73" i="6"/>
  <c r="M74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7" i="6"/>
  <c r="M100" i="6"/>
  <c r="M101" i="6"/>
  <c r="M107" i="6"/>
  <c r="M108" i="6"/>
  <c r="M109" i="6"/>
  <c r="M111" i="6"/>
  <c r="M113" i="6"/>
  <c r="M114" i="6"/>
  <c r="M115" i="6"/>
  <c r="M118" i="6"/>
  <c r="M119" i="6"/>
  <c r="M120" i="6"/>
  <c r="M121" i="6"/>
  <c r="M123" i="6"/>
  <c r="M124" i="6"/>
  <c r="M125" i="6"/>
  <c r="M126" i="6"/>
  <c r="M127" i="6"/>
  <c r="M128" i="6"/>
  <c r="M129" i="6"/>
  <c r="M130" i="6"/>
  <c r="M133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3" i="6"/>
  <c r="M154" i="6"/>
  <c r="M155" i="6"/>
  <c r="M156" i="6"/>
  <c r="M157" i="6"/>
  <c r="M158" i="6"/>
  <c r="M159" i="6"/>
  <c r="M160" i="6"/>
  <c r="M161" i="6"/>
  <c r="M162" i="6"/>
  <c r="M5" i="6"/>
  <c r="L6" i="6"/>
  <c r="L7" i="6"/>
  <c r="L9" i="6"/>
  <c r="L10" i="6"/>
  <c r="L11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4" i="6"/>
  <c r="L35" i="6"/>
  <c r="L36" i="6"/>
  <c r="L38" i="6"/>
  <c r="L39" i="6"/>
  <c r="L41" i="6"/>
  <c r="L42" i="6"/>
  <c r="L43" i="6"/>
  <c r="L45" i="6"/>
  <c r="L46" i="6"/>
  <c r="L47" i="6"/>
  <c r="L49" i="6"/>
  <c r="L50" i="6"/>
  <c r="L51" i="6"/>
  <c r="L52" i="6"/>
  <c r="L53" i="6"/>
  <c r="L55" i="6"/>
  <c r="L57" i="6"/>
  <c r="L59" i="6"/>
  <c r="L61" i="6"/>
  <c r="L64" i="6"/>
  <c r="L65" i="6"/>
  <c r="L67" i="6"/>
  <c r="L69" i="6"/>
  <c r="L70" i="6"/>
  <c r="L71" i="6"/>
  <c r="L72" i="6"/>
  <c r="L73" i="6"/>
  <c r="L74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7" i="6"/>
  <c r="L100" i="6"/>
  <c r="L101" i="6"/>
  <c r="L107" i="6"/>
  <c r="L108" i="6"/>
  <c r="L109" i="6"/>
  <c r="L111" i="6"/>
  <c r="L113" i="6"/>
  <c r="L114" i="6"/>
  <c r="L115" i="6"/>
  <c r="L118" i="6"/>
  <c r="L119" i="6"/>
  <c r="L120" i="6"/>
  <c r="L121" i="6"/>
  <c r="L123" i="6"/>
  <c r="L124" i="6"/>
  <c r="L125" i="6"/>
  <c r="L126" i="6"/>
  <c r="L127" i="6"/>
  <c r="L128" i="6"/>
  <c r="L129" i="6"/>
  <c r="L130" i="6"/>
  <c r="L133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3" i="6"/>
  <c r="L154" i="6"/>
  <c r="L155" i="6"/>
  <c r="L156" i="6"/>
  <c r="L157" i="6"/>
  <c r="L158" i="6"/>
  <c r="L159" i="6"/>
  <c r="L160" i="6"/>
  <c r="L161" i="6"/>
  <c r="L162" i="6"/>
  <c r="L5" i="6"/>
  <c r="K162" i="6"/>
  <c r="K161" i="6"/>
  <c r="K160" i="6"/>
  <c r="K159" i="6"/>
  <c r="K158" i="6"/>
  <c r="K157" i="6"/>
  <c r="K156" i="6"/>
  <c r="K155" i="6"/>
  <c r="K154" i="6"/>
  <c r="K153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5" i="6"/>
  <c r="K114" i="6"/>
  <c r="K113" i="6"/>
  <c r="K111" i="6"/>
  <c r="K109" i="6"/>
  <c r="K108" i="6"/>
  <c r="K107" i="6"/>
  <c r="K101" i="6"/>
  <c r="K100" i="6"/>
  <c r="K99" i="6"/>
  <c r="K97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39" i="6"/>
  <c r="K38" i="6"/>
  <c r="K36" i="6"/>
  <c r="K35" i="6"/>
  <c r="K34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1" i="6"/>
  <c r="K10" i="6"/>
  <c r="K9" i="6"/>
  <c r="K7" i="6"/>
  <c r="K6" i="6"/>
  <c r="K5" i="6"/>
  <c r="L41" i="4" l="1"/>
  <c r="K111" i="4"/>
  <c r="L111" i="4" s="1"/>
  <c r="M6" i="4"/>
  <c r="M9" i="4"/>
  <c r="M10" i="4"/>
  <c r="M1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4" i="4"/>
  <c r="M35" i="4"/>
  <c r="M36" i="4"/>
  <c r="M38" i="4"/>
  <c r="M39" i="4"/>
  <c r="M40" i="4"/>
  <c r="M41" i="4"/>
  <c r="M42" i="4"/>
  <c r="M43" i="4"/>
  <c r="M45" i="4"/>
  <c r="M46" i="4"/>
  <c r="M47" i="4"/>
  <c r="M48" i="4"/>
  <c r="M49" i="4"/>
  <c r="M50" i="4"/>
  <c r="M51" i="4"/>
  <c r="M52" i="4"/>
  <c r="M53" i="4"/>
  <c r="M55" i="4"/>
  <c r="M57" i="4"/>
  <c r="M58" i="4"/>
  <c r="M59" i="4"/>
  <c r="M61" i="4"/>
  <c r="M62" i="4"/>
  <c r="M63" i="4"/>
  <c r="M64" i="4"/>
  <c r="M65" i="4"/>
  <c r="M67" i="4"/>
  <c r="M68" i="4"/>
  <c r="M69" i="4"/>
  <c r="M70" i="4"/>
  <c r="M72" i="4"/>
  <c r="M73" i="4"/>
  <c r="M74" i="4"/>
  <c r="M75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100" i="4"/>
  <c r="M101" i="4"/>
  <c r="M107" i="4"/>
  <c r="M108" i="4"/>
  <c r="M111" i="4"/>
  <c r="M112" i="4"/>
  <c r="M113" i="4"/>
  <c r="M114" i="4"/>
  <c r="M115" i="4"/>
  <c r="M118" i="4"/>
  <c r="M119" i="4"/>
  <c r="M120" i="4"/>
  <c r="M121" i="4"/>
  <c r="M122" i="4"/>
  <c r="M123" i="4"/>
  <c r="M125" i="4"/>
  <c r="M126" i="4"/>
  <c r="M127" i="4"/>
  <c r="M128" i="4"/>
  <c r="M129" i="4"/>
  <c r="M130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4" i="4"/>
  <c r="M155" i="4"/>
  <c r="M156" i="4"/>
  <c r="M157" i="4"/>
  <c r="M158" i="4"/>
  <c r="M159" i="4"/>
  <c r="M160" i="4"/>
  <c r="M161" i="4"/>
  <c r="M162" i="4"/>
  <c r="L6" i="4"/>
  <c r="L9" i="4"/>
  <c r="L10" i="4"/>
  <c r="L1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4" i="4"/>
  <c r="L35" i="4"/>
  <c r="L36" i="4"/>
  <c r="L38" i="4"/>
  <c r="L39" i="4"/>
  <c r="L42" i="4"/>
  <c r="L43" i="4"/>
  <c r="L45" i="4"/>
  <c r="L46" i="4"/>
  <c r="L47" i="4"/>
  <c r="L48" i="4"/>
  <c r="L49" i="4"/>
  <c r="L50" i="4"/>
  <c r="L51" i="4"/>
  <c r="L52" i="4"/>
  <c r="L53" i="4"/>
  <c r="L55" i="4"/>
  <c r="L57" i="4"/>
  <c r="L58" i="4"/>
  <c r="L59" i="4"/>
  <c r="L61" i="4"/>
  <c r="L62" i="4"/>
  <c r="L63" i="4"/>
  <c r="L64" i="4"/>
  <c r="L65" i="4"/>
  <c r="L67" i="4"/>
  <c r="L68" i="4"/>
  <c r="L69" i="4"/>
  <c r="L70" i="4"/>
  <c r="L72" i="4"/>
  <c r="L73" i="4"/>
  <c r="L74" i="4"/>
  <c r="L75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100" i="4"/>
  <c r="L101" i="4"/>
  <c r="L107" i="4"/>
  <c r="L108" i="4"/>
  <c r="L112" i="4"/>
  <c r="L113" i="4"/>
  <c r="L114" i="4"/>
  <c r="L115" i="4"/>
  <c r="L118" i="4"/>
  <c r="L119" i="4"/>
  <c r="L120" i="4"/>
  <c r="L121" i="4"/>
  <c r="L122" i="4"/>
  <c r="L123" i="4"/>
  <c r="L125" i="4"/>
  <c r="L126" i="4"/>
  <c r="L127" i="4"/>
  <c r="L128" i="4"/>
  <c r="L129" i="4"/>
  <c r="L130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4" i="4"/>
  <c r="L155" i="4"/>
  <c r="L156" i="4"/>
  <c r="L157" i="4"/>
  <c r="L158" i="4"/>
  <c r="L159" i="4"/>
  <c r="L160" i="4"/>
  <c r="L161" i="4"/>
  <c r="L162" i="4"/>
  <c r="K6" i="4"/>
  <c r="K7" i="4"/>
  <c r="K9" i="4"/>
  <c r="K10" i="4"/>
  <c r="K11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4" i="4"/>
  <c r="K35" i="4"/>
  <c r="K36" i="4"/>
  <c r="K38" i="4"/>
  <c r="K39" i="4"/>
  <c r="K41" i="4"/>
  <c r="K42" i="4"/>
  <c r="K43" i="4"/>
  <c r="K45" i="4"/>
  <c r="K46" i="4"/>
  <c r="K47" i="4"/>
  <c r="K48" i="4"/>
  <c r="K49" i="4"/>
  <c r="K50" i="4"/>
  <c r="K51" i="4"/>
  <c r="K52" i="4"/>
  <c r="K53" i="4"/>
  <c r="K55" i="4"/>
  <c r="K56" i="4"/>
  <c r="K57" i="4"/>
  <c r="K58" i="4"/>
  <c r="K59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8" i="4"/>
  <c r="K100" i="4"/>
  <c r="K101" i="4"/>
  <c r="K102" i="4"/>
  <c r="K107" i="4"/>
  <c r="K108" i="4"/>
  <c r="K109" i="4"/>
  <c r="K112" i="4"/>
  <c r="K113" i="4"/>
  <c r="K114" i="4"/>
  <c r="K115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M7" i="3"/>
  <c r="M10" i="3"/>
  <c r="M15" i="3"/>
  <c r="M16" i="3"/>
  <c r="M17" i="3"/>
  <c r="M19" i="3"/>
  <c r="M22" i="3"/>
  <c r="M24" i="3"/>
  <c r="M26" i="3"/>
  <c r="M28" i="3"/>
  <c r="M30" i="3"/>
  <c r="M32" i="3"/>
  <c r="M35" i="3"/>
  <c r="M36" i="3"/>
  <c r="M38" i="3"/>
  <c r="M39" i="3"/>
  <c r="M41" i="3"/>
  <c r="M42" i="3"/>
  <c r="M45" i="3"/>
  <c r="M46" i="3"/>
  <c r="M50" i="3"/>
  <c r="M53" i="3"/>
  <c r="M55" i="3"/>
  <c r="M56" i="3"/>
  <c r="M59" i="3"/>
  <c r="M62" i="3"/>
  <c r="M64" i="3"/>
  <c r="M65" i="3"/>
  <c r="M67" i="3"/>
  <c r="M69" i="3"/>
  <c r="M70" i="3"/>
  <c r="M73" i="3"/>
  <c r="M74" i="3"/>
  <c r="M77" i="3"/>
  <c r="M78" i="3"/>
  <c r="M79" i="3"/>
  <c r="M81" i="3"/>
  <c r="M82" i="3"/>
  <c r="M83" i="3"/>
  <c r="M84" i="3"/>
  <c r="M86" i="3"/>
  <c r="M87" i="3"/>
  <c r="M89" i="3"/>
  <c r="M91" i="3"/>
  <c r="M92" i="3"/>
  <c r="M93" i="3"/>
  <c r="M94" i="3"/>
  <c r="M95" i="3"/>
  <c r="M100" i="3"/>
  <c r="M101" i="3"/>
  <c r="M107" i="3"/>
  <c r="M108" i="3"/>
  <c r="M111" i="3"/>
  <c r="M113" i="3"/>
  <c r="M114" i="3"/>
  <c r="M118" i="3"/>
  <c r="M119" i="3"/>
  <c r="M121" i="3"/>
  <c r="M122" i="3"/>
  <c r="M124" i="3"/>
  <c r="M125" i="3"/>
  <c r="M127" i="3"/>
  <c r="M128" i="3"/>
  <c r="M129" i="3"/>
  <c r="M130" i="3"/>
  <c r="M133" i="3"/>
  <c r="M135" i="3"/>
  <c r="M136" i="3"/>
  <c r="M138" i="3"/>
  <c r="M139" i="3"/>
  <c r="M140" i="3"/>
  <c r="M141" i="3"/>
  <c r="M142" i="3"/>
  <c r="M144" i="3"/>
  <c r="M146" i="3"/>
  <c r="M147" i="3"/>
  <c r="M148" i="3"/>
  <c r="M149" i="3"/>
  <c r="M152" i="3"/>
  <c r="M154" i="3"/>
  <c r="M156" i="3"/>
  <c r="M158" i="3"/>
  <c r="M159" i="3"/>
  <c r="M160" i="3"/>
  <c r="M162" i="3"/>
  <c r="M5" i="3"/>
  <c r="L7" i="3"/>
  <c r="L10" i="3"/>
  <c r="L15" i="3"/>
  <c r="L16" i="3"/>
  <c r="L17" i="3"/>
  <c r="L19" i="3"/>
  <c r="L22" i="3"/>
  <c r="L24" i="3"/>
  <c r="L26" i="3"/>
  <c r="L28" i="3"/>
  <c r="L30" i="3"/>
  <c r="L32" i="3"/>
  <c r="L35" i="3"/>
  <c r="L36" i="3"/>
  <c r="L38" i="3"/>
  <c r="L39" i="3"/>
  <c r="L41" i="3"/>
  <c r="L42" i="3"/>
  <c r="L45" i="3"/>
  <c r="L46" i="3"/>
  <c r="L50" i="3"/>
  <c r="L53" i="3"/>
  <c r="L55" i="3"/>
  <c r="L56" i="3"/>
  <c r="L59" i="3"/>
  <c r="L62" i="3"/>
  <c r="L64" i="3"/>
  <c r="L65" i="3"/>
  <c r="L67" i="3"/>
  <c r="L69" i="3"/>
  <c r="L70" i="3"/>
  <c r="L73" i="3"/>
  <c r="L74" i="3"/>
  <c r="L77" i="3"/>
  <c r="L78" i="3"/>
  <c r="L79" i="3"/>
  <c r="L81" i="3"/>
  <c r="L82" i="3"/>
  <c r="L83" i="3"/>
  <c r="L84" i="3"/>
  <c r="L86" i="3"/>
  <c r="L87" i="3"/>
  <c r="L89" i="3"/>
  <c r="L91" i="3"/>
  <c r="L92" i="3"/>
  <c r="L93" i="3"/>
  <c r="L94" i="3"/>
  <c r="L95" i="3"/>
  <c r="L100" i="3"/>
  <c r="L101" i="3"/>
  <c r="L107" i="3"/>
  <c r="L108" i="3"/>
  <c r="L111" i="3"/>
  <c r="L113" i="3"/>
  <c r="L114" i="3"/>
  <c r="L118" i="3"/>
  <c r="L119" i="3"/>
  <c r="L121" i="3"/>
  <c r="L122" i="3"/>
  <c r="L124" i="3"/>
  <c r="L125" i="3"/>
  <c r="L126" i="3"/>
  <c r="L127" i="3"/>
  <c r="L128" i="3"/>
  <c r="L129" i="3"/>
  <c r="L130" i="3"/>
  <c r="L133" i="3"/>
  <c r="L135" i="3"/>
  <c r="L136" i="3"/>
  <c r="L138" i="3"/>
  <c r="L139" i="3"/>
  <c r="L140" i="3"/>
  <c r="L141" i="3"/>
  <c r="L142" i="3"/>
  <c r="L144" i="3"/>
  <c r="L146" i="3"/>
  <c r="L147" i="3"/>
  <c r="L148" i="3"/>
  <c r="L149" i="3"/>
  <c r="L152" i="3"/>
  <c r="L154" i="3"/>
  <c r="L156" i="3"/>
  <c r="L158" i="3"/>
  <c r="L159" i="3"/>
  <c r="L160" i="3"/>
  <c r="L162" i="3"/>
  <c r="L5" i="3"/>
  <c r="K6" i="3"/>
  <c r="K7" i="3"/>
  <c r="K10" i="3"/>
  <c r="K13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4" i="3"/>
  <c r="K35" i="3"/>
  <c r="K36" i="3"/>
  <c r="K38" i="3"/>
  <c r="K39" i="3"/>
  <c r="K41" i="3"/>
  <c r="K42" i="3"/>
  <c r="K43" i="3"/>
  <c r="K45" i="3"/>
  <c r="K46" i="3"/>
  <c r="K47" i="3"/>
  <c r="K50" i="3"/>
  <c r="K51" i="3"/>
  <c r="K53" i="3"/>
  <c r="K54" i="3"/>
  <c r="K55" i="3"/>
  <c r="K56" i="3"/>
  <c r="K57" i="3"/>
  <c r="K58" i="3"/>
  <c r="K59" i="3"/>
  <c r="K61" i="3"/>
  <c r="K62" i="3"/>
  <c r="K63" i="3"/>
  <c r="K64" i="3"/>
  <c r="K65" i="3"/>
  <c r="K67" i="3"/>
  <c r="K69" i="3"/>
  <c r="K70" i="3"/>
  <c r="K71" i="3"/>
  <c r="K72" i="3"/>
  <c r="K73" i="3"/>
  <c r="K74" i="3"/>
  <c r="K75" i="3"/>
  <c r="K77" i="3"/>
  <c r="K78" i="3"/>
  <c r="K79" i="3"/>
  <c r="K81" i="3"/>
  <c r="K82" i="3"/>
  <c r="K83" i="3"/>
  <c r="K84" i="3"/>
  <c r="K85" i="3"/>
  <c r="K86" i="3"/>
  <c r="K87" i="3"/>
  <c r="K89" i="3"/>
  <c r="K90" i="3"/>
  <c r="K91" i="3"/>
  <c r="K92" i="3"/>
  <c r="K93" i="3"/>
  <c r="K94" i="3"/>
  <c r="K95" i="3"/>
  <c r="K100" i="3"/>
  <c r="K101" i="3"/>
  <c r="K107" i="3"/>
  <c r="K108" i="3"/>
  <c r="K111" i="3"/>
  <c r="K113" i="3"/>
  <c r="K114" i="3"/>
  <c r="K115" i="3"/>
  <c r="K118" i="3"/>
  <c r="K119" i="3"/>
  <c r="K120" i="3"/>
  <c r="K121" i="3"/>
  <c r="K122" i="3"/>
  <c r="K123" i="3"/>
  <c r="K124" i="3"/>
  <c r="K125" i="3"/>
  <c r="K127" i="3"/>
  <c r="K128" i="3"/>
  <c r="K129" i="3"/>
  <c r="K130" i="3"/>
  <c r="K133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5" i="3"/>
</calcChain>
</file>

<file path=xl/sharedStrings.xml><?xml version="1.0" encoding="utf-8"?>
<sst xmlns="http://schemas.openxmlformats.org/spreadsheetml/2006/main" count="936" uniqueCount="232">
  <si>
    <t>Наименование должности</t>
  </si>
  <si>
    <t>№ строки</t>
  </si>
  <si>
    <t>Число должностей в целом по организации</t>
  </si>
  <si>
    <t>в том числе в поликлинике (амбулатории), диспансере,консультации</t>
  </si>
  <si>
    <t>Число физических лиц основных работников на занятых должностях</t>
  </si>
  <si>
    <t xml:space="preserve">  штатные </t>
  </si>
  <si>
    <t>занятые</t>
  </si>
  <si>
    <t xml:space="preserve">  занятые</t>
  </si>
  <si>
    <t>в целом по организа-ции</t>
  </si>
  <si>
    <t>из них в поликлинике, диспансере, консультации</t>
  </si>
  <si>
    <t>А</t>
  </si>
  <si>
    <t>Б</t>
  </si>
  <si>
    <t xml:space="preserve"> Врачи, всего</t>
  </si>
  <si>
    <t>01</t>
  </si>
  <si>
    <t>в том числе руководители организации здравоохранения</t>
  </si>
  <si>
    <t>02</t>
  </si>
  <si>
    <t xml:space="preserve">заместители руководителя по медицинской части               </t>
  </si>
  <si>
    <t>03</t>
  </si>
  <si>
    <t>менеджеры здравоохранения</t>
  </si>
  <si>
    <t>04</t>
  </si>
  <si>
    <t xml:space="preserve">терапевты, всего </t>
  </si>
  <si>
    <t>05</t>
  </si>
  <si>
    <t xml:space="preserve">                 из них:  участковые терапевты </t>
  </si>
  <si>
    <t>5.1</t>
  </si>
  <si>
    <t xml:space="preserve">                               врачи цеховых  участков</t>
  </si>
  <si>
    <t>5.2</t>
  </si>
  <si>
    <t xml:space="preserve">                               терапевты подростковые</t>
  </si>
  <si>
    <t>5.3</t>
  </si>
  <si>
    <t xml:space="preserve">                               диетологи</t>
  </si>
  <si>
    <t>5.4</t>
  </si>
  <si>
    <t xml:space="preserve"> пульмонологи взрослые</t>
  </si>
  <si>
    <t>06</t>
  </si>
  <si>
    <t xml:space="preserve"> пульмонологи детские</t>
  </si>
  <si>
    <t>07</t>
  </si>
  <si>
    <t xml:space="preserve"> ревматологи взрослые</t>
  </si>
  <si>
    <t>08</t>
  </si>
  <si>
    <t xml:space="preserve"> ревматологи детские</t>
  </si>
  <si>
    <t>09</t>
  </si>
  <si>
    <t xml:space="preserve"> кардиологи взрослые</t>
  </si>
  <si>
    <t>10</t>
  </si>
  <si>
    <t xml:space="preserve">                 из них: интервенционные</t>
  </si>
  <si>
    <t>10.1</t>
  </si>
  <si>
    <t xml:space="preserve"> кардиологи детские</t>
  </si>
  <si>
    <t xml:space="preserve"> гастроэнтерологи взрослые</t>
  </si>
  <si>
    <t xml:space="preserve"> гастроэнтерологи детские</t>
  </si>
  <si>
    <t xml:space="preserve"> нефрологи взрослые</t>
  </si>
  <si>
    <t xml:space="preserve"> нефрологи детские</t>
  </si>
  <si>
    <t xml:space="preserve"> эндокринологи взрослые </t>
  </si>
  <si>
    <t xml:space="preserve"> эндокринологи детские</t>
  </si>
  <si>
    <t xml:space="preserve"> аллергологи взрослые</t>
  </si>
  <si>
    <t xml:space="preserve"> аллергологи детские</t>
  </si>
  <si>
    <t xml:space="preserve"> гематологи взрослые</t>
  </si>
  <si>
    <t xml:space="preserve"> гематологи детские</t>
  </si>
  <si>
    <t xml:space="preserve"> инфекционисты взрослые</t>
  </si>
  <si>
    <t>из них : лепрологи</t>
  </si>
  <si>
    <t>22.1</t>
  </si>
  <si>
    <t xml:space="preserve"> инфекционисты детские</t>
  </si>
  <si>
    <t>Врачи реабилитологи, восстановительного лечения</t>
  </si>
  <si>
    <t xml:space="preserve">          из них: </t>
  </si>
  <si>
    <t>24.1</t>
  </si>
  <si>
    <t xml:space="preserve">                       физиотерапевты взрослые</t>
  </si>
  <si>
    <t xml:space="preserve">                       физиотерапевты детские</t>
  </si>
  <si>
    <t>24.2</t>
  </si>
  <si>
    <t xml:space="preserve">                       врачи по лечебной физкультуре</t>
  </si>
  <si>
    <t>24.3</t>
  </si>
  <si>
    <t>Спортивная медицина</t>
  </si>
  <si>
    <t xml:space="preserve">Профпатологи                                                                                                                                                                                                     </t>
  </si>
  <si>
    <t xml:space="preserve">Врачи функциональной диагностики </t>
  </si>
  <si>
    <t>Токсикологи взрослые</t>
  </si>
  <si>
    <t>Токсикологи детские</t>
  </si>
  <si>
    <t>Хирурги, всего</t>
  </si>
  <si>
    <t xml:space="preserve">          из них: хирурги взрослые</t>
  </si>
  <si>
    <t>30.1</t>
  </si>
  <si>
    <t xml:space="preserve">                       торакальные хирурги </t>
  </si>
  <si>
    <t>30.2</t>
  </si>
  <si>
    <t xml:space="preserve">                       колопроктологи</t>
  </si>
  <si>
    <t>30.3</t>
  </si>
  <si>
    <t xml:space="preserve">                      трансплантологи</t>
  </si>
  <si>
    <t>30.4</t>
  </si>
  <si>
    <t>Хирурги детские</t>
  </si>
  <si>
    <t>Кардиохирурги взрослые</t>
  </si>
  <si>
    <t>Кардиохирурги детские</t>
  </si>
  <si>
    <t>Ангиохирурги взрослые</t>
  </si>
  <si>
    <t>Ангиохирурги детские</t>
  </si>
  <si>
    <t>Травматологи-ортопеды взрослые</t>
  </si>
  <si>
    <t xml:space="preserve">                      из них : камбустиологи взрослые</t>
  </si>
  <si>
    <t>36.1</t>
  </si>
  <si>
    <t>Травматологи-ортопеды детские</t>
  </si>
  <si>
    <t xml:space="preserve">                      из них : камбустиологи детские</t>
  </si>
  <si>
    <t>37.1</t>
  </si>
  <si>
    <t xml:space="preserve">Урологи взрослые </t>
  </si>
  <si>
    <t xml:space="preserve">                      из них : андрологи</t>
  </si>
  <si>
    <t>38.1</t>
  </si>
  <si>
    <t>Урологи детские</t>
  </si>
  <si>
    <t>Нейрохирурги взрослые</t>
  </si>
  <si>
    <t>Нейрохирурги детские</t>
  </si>
  <si>
    <t>Анестезиологи-реаниматологи взрослые</t>
  </si>
  <si>
    <t>Анестезиологи-реаниматологи детские</t>
  </si>
  <si>
    <t>Пластические хирурги</t>
  </si>
  <si>
    <t>Эндоскописты взрослые</t>
  </si>
  <si>
    <t>Эндоскописты детские</t>
  </si>
  <si>
    <t>Онкологи взрослые</t>
  </si>
  <si>
    <t xml:space="preserve">                      из них : маммологи</t>
  </si>
  <si>
    <t>47.1</t>
  </si>
  <si>
    <t>Онкологи детские</t>
  </si>
  <si>
    <t>Радиологи (лучевая терапия)</t>
  </si>
  <si>
    <t>Стоматологи взрослые</t>
  </si>
  <si>
    <t>Стоматологи детские</t>
  </si>
  <si>
    <t>Челюстно-лицевые хирурги взрослые</t>
  </si>
  <si>
    <t>Челюстно-лицевые хирурги детские</t>
  </si>
  <si>
    <t>Трансфузиологи</t>
  </si>
  <si>
    <t>Перфузиологи</t>
  </si>
  <si>
    <t>Акушеры-гинекологи</t>
  </si>
  <si>
    <t xml:space="preserve">                      из них : гинекологи детские</t>
  </si>
  <si>
    <t>56.1</t>
  </si>
  <si>
    <t xml:space="preserve">Педиатры </t>
  </si>
  <si>
    <t xml:space="preserve">                      из них : участковые педиатры </t>
  </si>
  <si>
    <t>57.1</t>
  </si>
  <si>
    <t>Неонатологи</t>
  </si>
  <si>
    <t>Офтальмологи взрослые</t>
  </si>
  <si>
    <t>Офтальмологи детские</t>
  </si>
  <si>
    <t>Отоларингологи взрослые</t>
  </si>
  <si>
    <t>Отоларингологи детские</t>
  </si>
  <si>
    <t xml:space="preserve">                      из них: сурдологи</t>
  </si>
  <si>
    <t>62.1</t>
  </si>
  <si>
    <t>Фтизиатры взрослые</t>
  </si>
  <si>
    <t>Фтизиатры детские</t>
  </si>
  <si>
    <t>Невропатологи взрослые</t>
  </si>
  <si>
    <t>Невропатологи детские</t>
  </si>
  <si>
    <t>Врачи психиатрического профиля, взрослые</t>
  </si>
  <si>
    <t xml:space="preserve">         из них : наркологи </t>
  </si>
  <si>
    <t>67.1</t>
  </si>
  <si>
    <t xml:space="preserve">                      психотерапевты</t>
  </si>
  <si>
    <t>67.2</t>
  </si>
  <si>
    <t xml:space="preserve">                      сексопатологи</t>
  </si>
  <si>
    <t>67.3</t>
  </si>
  <si>
    <t xml:space="preserve">                      медицинские психологи</t>
  </si>
  <si>
    <t>67.4</t>
  </si>
  <si>
    <t xml:space="preserve">                     судебно-психиатрические эксперты</t>
  </si>
  <si>
    <t>67.5</t>
  </si>
  <si>
    <t xml:space="preserve">                     судебно-наркологические эксперты</t>
  </si>
  <si>
    <t>67.6</t>
  </si>
  <si>
    <t xml:space="preserve">                     психиатры взрослые</t>
  </si>
  <si>
    <t>67.7</t>
  </si>
  <si>
    <t>Врачи психиатрического профиля, детские</t>
  </si>
  <si>
    <t xml:space="preserve">        из них : психотерапевты детские</t>
  </si>
  <si>
    <t>68.1</t>
  </si>
  <si>
    <t xml:space="preserve">                      медицинские психологи детские</t>
  </si>
  <si>
    <t>68.2</t>
  </si>
  <si>
    <t xml:space="preserve">                      наркологи детские</t>
  </si>
  <si>
    <t>68.3</t>
  </si>
  <si>
    <t xml:space="preserve">                     судебно-психиатрические эксперты детские</t>
  </si>
  <si>
    <t>68.4</t>
  </si>
  <si>
    <t xml:space="preserve">                     судебно-наркологические эксперты детские</t>
  </si>
  <si>
    <t>68.5</t>
  </si>
  <si>
    <t xml:space="preserve">                     психиатры детские</t>
  </si>
  <si>
    <t>68.6</t>
  </si>
  <si>
    <t>Дерматовенерологи взрослые</t>
  </si>
  <si>
    <t>Дерматовенерологи детские</t>
  </si>
  <si>
    <t>Дерматокосметологи</t>
  </si>
  <si>
    <t>Патологоанатомы взрослые</t>
  </si>
  <si>
    <t>Патологоанатомы детские</t>
  </si>
  <si>
    <t>Врачи эпидемиологи и гигиенисты</t>
  </si>
  <si>
    <t xml:space="preserve">         из них : эпидемиологи</t>
  </si>
  <si>
    <t>74.1</t>
  </si>
  <si>
    <t xml:space="preserve">                      бактериологи</t>
  </si>
  <si>
    <t>74.2</t>
  </si>
  <si>
    <t xml:space="preserve">                      вирусологи</t>
  </si>
  <si>
    <t>74.3</t>
  </si>
  <si>
    <t xml:space="preserve">                      паразитологи</t>
  </si>
  <si>
    <t>74.4</t>
  </si>
  <si>
    <t>Врачи-лаборанты</t>
  </si>
  <si>
    <t xml:space="preserve">          из них : лаборанты-цитологи</t>
  </si>
  <si>
    <t>75.1</t>
  </si>
  <si>
    <t>Генетики</t>
  </si>
  <si>
    <t>Врачи общественного здравоохранения</t>
  </si>
  <si>
    <t xml:space="preserve">          из них : валеологи</t>
  </si>
  <si>
    <t>77.1</t>
  </si>
  <si>
    <t xml:space="preserve">                       статистики</t>
  </si>
  <si>
    <t>77.2</t>
  </si>
  <si>
    <t xml:space="preserve">                       методисты</t>
  </si>
  <si>
    <t>77.3</t>
  </si>
  <si>
    <t xml:space="preserve">                       эксперты</t>
  </si>
  <si>
    <t>77.4</t>
  </si>
  <si>
    <t>Геронтологи</t>
  </si>
  <si>
    <t>Врачи лучевой диагностики</t>
  </si>
  <si>
    <t xml:space="preserve">         из них :    ультразвуковой диагностики</t>
  </si>
  <si>
    <t>79.1</t>
  </si>
  <si>
    <t xml:space="preserve">                          рентгенологи</t>
  </si>
  <si>
    <t>79.2</t>
  </si>
  <si>
    <t xml:space="preserve">                   компьютерной и магнито-резонансной томографии</t>
  </si>
  <si>
    <t>79.3</t>
  </si>
  <si>
    <t xml:space="preserve">                          радиоизотопной диагностики</t>
  </si>
  <si>
    <t>79.4</t>
  </si>
  <si>
    <t>Врачи общей практики / семейные врачи</t>
  </si>
  <si>
    <t>Врачи традиционной терапии</t>
  </si>
  <si>
    <t>Врачи - клинические фармацевты</t>
  </si>
  <si>
    <t>Специалисты с высшим немедицинским образованием</t>
  </si>
  <si>
    <t xml:space="preserve">                      из них: социальные работники</t>
  </si>
  <si>
    <t>83.1</t>
  </si>
  <si>
    <t xml:space="preserve">                                    психологи</t>
  </si>
  <si>
    <t>83.2</t>
  </si>
  <si>
    <t>Средний медперсонал, всего</t>
  </si>
  <si>
    <t>в том числе :    медицинские сестры</t>
  </si>
  <si>
    <t>медицинские сестры участковые</t>
  </si>
  <si>
    <t xml:space="preserve">               из них: терапевтических участков</t>
  </si>
  <si>
    <t>86.1</t>
  </si>
  <si>
    <t>педиатрических участков</t>
  </si>
  <si>
    <t>86.2</t>
  </si>
  <si>
    <t>медицинские сестры общей практики</t>
  </si>
  <si>
    <t>медицинские сестры по ЗОЖ</t>
  </si>
  <si>
    <t>медицинские статистики</t>
  </si>
  <si>
    <t>акушерки</t>
  </si>
  <si>
    <t>акушерки общей практики</t>
  </si>
  <si>
    <t>фельдшера</t>
  </si>
  <si>
    <t>фельдшера общей практики</t>
  </si>
  <si>
    <t>рентгенлаборанты</t>
  </si>
  <si>
    <t>зубные врачи</t>
  </si>
  <si>
    <t>зубные техники</t>
  </si>
  <si>
    <t>лаборанты клинических лабораторий</t>
  </si>
  <si>
    <t>лаборанты-гистологи</t>
  </si>
  <si>
    <t>прочий медперсонал</t>
  </si>
  <si>
    <t>Провизоры</t>
  </si>
  <si>
    <t>Фармацевты</t>
  </si>
  <si>
    <t>Младший медперсонал</t>
  </si>
  <si>
    <t>Прочий немедицинский персонал</t>
  </si>
  <si>
    <t>103.1</t>
  </si>
  <si>
    <t>Всего должностей</t>
  </si>
  <si>
    <t xml:space="preserve"> I. ШТАТНЫЕ ДОЛЖНОСТИ ОРГАНИЗАЦИИ НА КОНЕЦ ОТЧЕТНОГО ГОДА</t>
  </si>
  <si>
    <t>Коэффициент совместительства</t>
  </si>
  <si>
    <t xml:space="preserve">Дефицит предлагаемая формула </t>
  </si>
  <si>
    <t>Дефицит действующая формула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</si>
</sst>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9" xfId="0" applyFont="1" applyBorder="1"/>
    <xf numFmtId="2" fontId="0" fillId="0" borderId="0" xfId="0" applyNumberFormat="1"/>
    <xf numFmtId="164" fontId="0" fillId="0" borderId="0" xfId="0" applyNumberFormat="1"/>
    <xf numFmtId="0" fontId="1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/>
    </xf>
    <xf numFmtId="0" fontId="1" fillId="0" borderId="7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0" fillId="0" borderId="7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2" fontId="1" fillId="0" borderId="7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0" fontId="1" fillId="0" borderId="0" xfId="0" applyFont="1" applyBorder="1"/>
    <xf numFmtId="49" fontId="1" fillId="2" borderId="4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1" fillId="0" borderId="4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7" xfId="0" applyFont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2" fontId="1" fillId="0" borderId="10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2" fontId="1" fillId="0" borderId="3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/>
    <xf numFmtId="0" fontId="2" fillId="2" borderId="7" xfId="0" applyFont="1" applyFill="1" applyBorder="1" applyAlignment="1">
      <alignment horizontal="left"/>
    </xf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90"/>
    </xf>
    <xf numFmtId="0" fontId="1" fillId="3" borderId="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/>
    </xf>
    <xf numFmtId="2" fontId="4" fillId="4" borderId="7" xfId="0" applyNumberFormat="1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2" fontId="4" fillId="4" borderId="10" xfId="0" applyNumberFormat="1" applyFont="1" applyFill="1" applyBorder="1" applyAlignment="1">
      <alignment horizontal="center"/>
    </xf>
    <xf numFmtId="2" fontId="5" fillId="4" borderId="7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/>
    </xf>
    <xf numFmtId="2" fontId="4" fillId="5" borderId="7" xfId="0" applyNumberFormat="1" applyFont="1" applyFill="1" applyBorder="1" applyAlignment="1">
      <alignment horizontal="center"/>
    </xf>
    <xf numFmtId="2" fontId="4" fillId="5" borderId="3" xfId="0" applyNumberFormat="1" applyFont="1" applyFill="1" applyBorder="1" applyAlignment="1">
      <alignment horizontal="center"/>
    </xf>
    <xf numFmtId="2" fontId="4" fillId="5" borderId="10" xfId="0" applyNumberFormat="1" applyFont="1" applyFill="1" applyBorder="1" applyAlignment="1">
      <alignment horizontal="center"/>
    </xf>
    <xf numFmtId="2" fontId="5" fillId="5" borderId="7" xfId="0" applyNumberFormat="1" applyFont="1" applyFill="1" applyBorder="1" applyAlignment="1">
      <alignment horizontal="center"/>
    </xf>
    <xf numFmtId="2" fontId="5" fillId="3" borderId="7" xfId="0" applyNumberFormat="1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164" fontId="5" fillId="4" borderId="7" xfId="0" applyNumberFormat="1" applyFont="1" applyFill="1" applyBorder="1" applyAlignment="1">
      <alignment horizontal="center"/>
    </xf>
    <xf numFmtId="164" fontId="4" fillId="4" borderId="7" xfId="0" applyNumberFormat="1" applyFont="1" applyFill="1" applyBorder="1" applyAlignment="1">
      <alignment horizontal="center"/>
    </xf>
    <xf numFmtId="164" fontId="4" fillId="4" borderId="7" xfId="0" applyNumberFormat="1" applyFont="1" applyFill="1" applyBorder="1" applyAlignment="1">
      <alignment horizontal="center"/>
    </xf>
    <xf numFmtId="164" fontId="5" fillId="5" borderId="7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6" fillId="3" borderId="7" xfId="0" applyNumberFormat="1" applyFon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49" fontId="6" fillId="4" borderId="7" xfId="0" applyNumberFormat="1" applyFon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0" fillId="4" borderId="10" xfId="0" applyNumberFormat="1" applyFill="1" applyBorder="1" applyAlignment="1">
      <alignment horizontal="center"/>
    </xf>
    <xf numFmtId="2" fontId="6" fillId="5" borderId="7" xfId="0" applyNumberFormat="1" applyFon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10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workbookViewId="0">
      <selection activeCell="M2" sqref="M2:M161"/>
    </sheetView>
  </sheetViews>
  <sheetFormatPr defaultRowHeight="15" x14ac:dyDescent="0.25"/>
  <cols>
    <col min="3" max="3" width="18.85546875" customWidth="1"/>
    <col min="10" max="10" width="13.28515625" customWidth="1"/>
    <col min="11" max="11" width="14.7109375" customWidth="1"/>
    <col min="12" max="12" width="12.7109375" customWidth="1"/>
    <col min="13" max="13" width="13.5703125" customWidth="1"/>
  </cols>
  <sheetData>
    <row r="1" spans="1:13" ht="37.5" customHeight="1" x14ac:dyDescent="0.25">
      <c r="A1" s="26">
        <v>1100</v>
      </c>
      <c r="B1" s="63" t="s">
        <v>228</v>
      </c>
      <c r="C1" s="63"/>
      <c r="D1" s="63"/>
      <c r="E1" s="63"/>
      <c r="F1" s="63"/>
      <c r="G1" s="63"/>
      <c r="H1" s="63"/>
      <c r="I1" s="64"/>
      <c r="J1" s="52"/>
    </row>
    <row r="2" spans="1:13" ht="43.5" customHeight="1" x14ac:dyDescent="0.25">
      <c r="A2" s="65" t="s">
        <v>0</v>
      </c>
      <c r="B2" s="66"/>
      <c r="C2" s="66"/>
      <c r="D2" s="69" t="s">
        <v>1</v>
      </c>
      <c r="E2" s="71" t="s">
        <v>2</v>
      </c>
      <c r="F2" s="72"/>
      <c r="G2" s="73" t="s">
        <v>3</v>
      </c>
      <c r="H2" s="74"/>
      <c r="I2" s="75" t="s">
        <v>4</v>
      </c>
      <c r="J2" s="75"/>
      <c r="K2" s="147" t="s">
        <v>229</v>
      </c>
      <c r="L2" s="154" t="s">
        <v>230</v>
      </c>
      <c r="M2" s="161" t="s">
        <v>231</v>
      </c>
    </row>
    <row r="3" spans="1:13" ht="51" x14ac:dyDescent="0.25">
      <c r="A3" s="67"/>
      <c r="B3" s="68"/>
      <c r="C3" s="68"/>
      <c r="D3" s="70"/>
      <c r="E3" s="34" t="s">
        <v>5</v>
      </c>
      <c r="F3" s="34" t="s">
        <v>6</v>
      </c>
      <c r="G3" s="34" t="s">
        <v>5</v>
      </c>
      <c r="H3" s="34" t="s">
        <v>7</v>
      </c>
      <c r="I3" s="27" t="s">
        <v>8</v>
      </c>
      <c r="J3" s="27" t="s">
        <v>9</v>
      </c>
      <c r="K3" s="148"/>
      <c r="L3" s="155"/>
      <c r="M3" s="162"/>
    </row>
    <row r="4" spans="1:13" x14ac:dyDescent="0.25">
      <c r="A4" s="83" t="s">
        <v>10</v>
      </c>
      <c r="B4" s="84"/>
      <c r="C4" s="85"/>
      <c r="D4" s="25" t="s">
        <v>11</v>
      </c>
      <c r="E4" s="44">
        <v>1</v>
      </c>
      <c r="F4" s="44">
        <v>2</v>
      </c>
      <c r="G4" s="44">
        <v>3</v>
      </c>
      <c r="H4" s="44">
        <v>4</v>
      </c>
      <c r="I4" s="47">
        <v>5</v>
      </c>
      <c r="J4" s="44">
        <v>6</v>
      </c>
      <c r="K4" s="149">
        <v>7</v>
      </c>
      <c r="L4" s="156">
        <v>8</v>
      </c>
      <c r="M4" s="163">
        <v>9</v>
      </c>
    </row>
    <row r="5" spans="1:13" x14ac:dyDescent="0.25">
      <c r="A5" s="86" t="s">
        <v>12</v>
      </c>
      <c r="B5" s="87"/>
      <c r="C5" s="88"/>
      <c r="D5" s="49" t="s">
        <v>13</v>
      </c>
      <c r="E5" s="50">
        <v>65683.75</v>
      </c>
      <c r="F5" s="50">
        <v>59357</v>
      </c>
      <c r="G5" s="50">
        <v>34195.25</v>
      </c>
      <c r="H5" s="50">
        <v>31266.75</v>
      </c>
      <c r="I5" s="51">
        <v>43961</v>
      </c>
      <c r="J5" s="51">
        <v>24740</v>
      </c>
      <c r="K5" s="150">
        <f>F5/I5</f>
        <v>1.3502195127499375</v>
      </c>
      <c r="L5" s="157">
        <f>E5/K5-I5</f>
        <v>4685.719573933995</v>
      </c>
      <c r="M5" s="164">
        <f>E5-F5</f>
        <v>6326.75</v>
      </c>
    </row>
    <row r="6" spans="1:13" x14ac:dyDescent="0.25">
      <c r="A6" s="89" t="s">
        <v>14</v>
      </c>
      <c r="B6" s="90"/>
      <c r="C6" s="91"/>
      <c r="D6" s="28" t="s">
        <v>15</v>
      </c>
      <c r="E6" s="48">
        <v>677.75</v>
      </c>
      <c r="F6" s="43">
        <v>650.75</v>
      </c>
      <c r="G6" s="43">
        <v>286.25</v>
      </c>
      <c r="H6" s="43">
        <v>275.5</v>
      </c>
      <c r="I6" s="47">
        <v>612</v>
      </c>
      <c r="J6" s="47">
        <v>241</v>
      </c>
      <c r="K6" s="150">
        <f t="shared" ref="K6:K69" si="0">F6/I6</f>
        <v>1.0633169934640523</v>
      </c>
      <c r="L6" s="157">
        <f t="shared" ref="L6:L69" si="1">E6/K6-I6</f>
        <v>25.392239723396074</v>
      </c>
      <c r="M6" s="164">
        <f t="shared" ref="M6:M69" si="2">E6-F6</f>
        <v>27</v>
      </c>
    </row>
    <row r="7" spans="1:13" x14ac:dyDescent="0.25">
      <c r="A7" s="92" t="s">
        <v>16</v>
      </c>
      <c r="B7" s="93"/>
      <c r="C7" s="94"/>
      <c r="D7" s="98" t="s">
        <v>17</v>
      </c>
      <c r="E7" s="99">
        <v>1274.75</v>
      </c>
      <c r="F7" s="76">
        <v>1182.25</v>
      </c>
      <c r="G7" s="76">
        <v>575</v>
      </c>
      <c r="H7" s="76">
        <v>535</v>
      </c>
      <c r="I7" s="78">
        <v>1105</v>
      </c>
      <c r="J7" s="78">
        <v>494</v>
      </c>
      <c r="K7" s="151">
        <f t="shared" si="0"/>
        <v>1.0699095022624434</v>
      </c>
      <c r="L7" s="158">
        <f t="shared" si="1"/>
        <v>86.455910340452647</v>
      </c>
      <c r="M7" s="165">
        <f t="shared" si="2"/>
        <v>92.5</v>
      </c>
    </row>
    <row r="8" spans="1:13" x14ac:dyDescent="0.25">
      <c r="A8" s="95"/>
      <c r="B8" s="96"/>
      <c r="C8" s="97"/>
      <c r="D8" s="98"/>
      <c r="E8" s="100"/>
      <c r="F8" s="77"/>
      <c r="G8" s="77"/>
      <c r="H8" s="77"/>
      <c r="I8" s="79"/>
      <c r="J8" s="79"/>
      <c r="K8" s="152"/>
      <c r="L8" s="159"/>
      <c r="M8" s="166"/>
    </row>
    <row r="9" spans="1:13" x14ac:dyDescent="0.25">
      <c r="A9" s="80" t="s">
        <v>18</v>
      </c>
      <c r="B9" s="81"/>
      <c r="C9" s="82"/>
      <c r="D9" s="28" t="s">
        <v>19</v>
      </c>
      <c r="E9" s="48">
        <v>328.75</v>
      </c>
      <c r="F9" s="43">
        <v>286.5</v>
      </c>
      <c r="G9" s="43">
        <v>182.75</v>
      </c>
      <c r="H9" s="43">
        <v>164</v>
      </c>
      <c r="I9" s="47">
        <v>237</v>
      </c>
      <c r="J9" s="47">
        <v>141</v>
      </c>
      <c r="K9" s="150">
        <f t="shared" si="0"/>
        <v>1.2088607594936709</v>
      </c>
      <c r="L9" s="157">
        <f t="shared" si="1"/>
        <v>34.950261780104711</v>
      </c>
      <c r="M9" s="164">
        <f t="shared" si="2"/>
        <v>42.25</v>
      </c>
    </row>
    <row r="10" spans="1:13" x14ac:dyDescent="0.25">
      <c r="A10" s="104" t="s">
        <v>20</v>
      </c>
      <c r="B10" s="104"/>
      <c r="C10" s="104"/>
      <c r="D10" s="28" t="s">
        <v>21</v>
      </c>
      <c r="E10" s="48">
        <v>4998.75</v>
      </c>
      <c r="F10" s="43">
        <v>4405.75</v>
      </c>
      <c r="G10" s="43">
        <v>2869</v>
      </c>
      <c r="H10" s="43">
        <v>2591.25</v>
      </c>
      <c r="I10" s="47">
        <v>3098</v>
      </c>
      <c r="J10" s="47">
        <v>1917</v>
      </c>
      <c r="K10" s="150">
        <f t="shared" si="0"/>
        <v>1.4221271788250485</v>
      </c>
      <c r="L10" s="157">
        <f t="shared" si="1"/>
        <v>416.98099075072332</v>
      </c>
      <c r="M10" s="164">
        <f t="shared" si="2"/>
        <v>593</v>
      </c>
    </row>
    <row r="11" spans="1:13" x14ac:dyDescent="0.25">
      <c r="A11" s="105" t="s">
        <v>22</v>
      </c>
      <c r="B11" s="106"/>
      <c r="C11" s="107"/>
      <c r="D11" s="31" t="s">
        <v>23</v>
      </c>
      <c r="E11" s="43">
        <v>758.5</v>
      </c>
      <c r="F11" s="43">
        <v>699.5</v>
      </c>
      <c r="G11" s="43">
        <v>758</v>
      </c>
      <c r="H11" s="43">
        <v>699</v>
      </c>
      <c r="I11" s="47">
        <v>603</v>
      </c>
      <c r="J11" s="47">
        <v>603</v>
      </c>
      <c r="K11" s="150">
        <f t="shared" si="0"/>
        <v>1.1600331674958542</v>
      </c>
      <c r="L11" s="157">
        <f t="shared" si="1"/>
        <v>50.860614724803327</v>
      </c>
      <c r="M11" s="164">
        <f t="shared" si="2"/>
        <v>59</v>
      </c>
    </row>
    <row r="12" spans="1:13" x14ac:dyDescent="0.25">
      <c r="A12" s="101" t="s">
        <v>24</v>
      </c>
      <c r="B12" s="102"/>
      <c r="C12" s="103"/>
      <c r="D12" s="42" t="s">
        <v>25</v>
      </c>
      <c r="E12" s="43">
        <v>1.75</v>
      </c>
      <c r="F12" s="43">
        <v>1.75</v>
      </c>
      <c r="G12" s="43">
        <v>1.75</v>
      </c>
      <c r="H12" s="43">
        <v>1.75</v>
      </c>
      <c r="I12" s="47">
        <v>2</v>
      </c>
      <c r="J12" s="47">
        <v>2</v>
      </c>
      <c r="K12" s="150">
        <f t="shared" si="0"/>
        <v>0.875</v>
      </c>
      <c r="L12" s="157"/>
      <c r="M12" s="164"/>
    </row>
    <row r="13" spans="1:13" x14ac:dyDescent="0.25">
      <c r="A13" s="101" t="s">
        <v>26</v>
      </c>
      <c r="B13" s="102"/>
      <c r="C13" s="103"/>
      <c r="D13" s="32" t="s">
        <v>27</v>
      </c>
      <c r="E13" s="43">
        <v>63.5</v>
      </c>
      <c r="F13" s="43">
        <v>57.25</v>
      </c>
      <c r="G13" s="43">
        <v>63.25</v>
      </c>
      <c r="H13" s="43">
        <v>57</v>
      </c>
      <c r="I13" s="47">
        <v>40</v>
      </c>
      <c r="J13" s="47">
        <v>40</v>
      </c>
      <c r="K13" s="150">
        <f t="shared" si="0"/>
        <v>1.4312499999999999</v>
      </c>
      <c r="L13" s="157">
        <f t="shared" si="1"/>
        <v>4.3668122270742415</v>
      </c>
      <c r="M13" s="164">
        <f t="shared" si="2"/>
        <v>6.25</v>
      </c>
    </row>
    <row r="14" spans="1:13" x14ac:dyDescent="0.25">
      <c r="A14" s="89" t="s">
        <v>28</v>
      </c>
      <c r="B14" s="90"/>
      <c r="C14" s="91"/>
      <c r="D14" s="28" t="s">
        <v>29</v>
      </c>
      <c r="E14" s="43">
        <v>41.5</v>
      </c>
      <c r="F14" s="43">
        <v>25</v>
      </c>
      <c r="G14" s="43">
        <v>0.25</v>
      </c>
      <c r="H14" s="43">
        <v>0.25</v>
      </c>
      <c r="I14" s="47">
        <v>14</v>
      </c>
      <c r="J14" s="47">
        <v>0</v>
      </c>
      <c r="K14" s="150">
        <f t="shared" si="0"/>
        <v>1.7857142857142858</v>
      </c>
      <c r="L14" s="157">
        <f t="shared" si="1"/>
        <v>9.2399999999999984</v>
      </c>
      <c r="M14" s="164">
        <f t="shared" si="2"/>
        <v>16.5</v>
      </c>
    </row>
    <row r="15" spans="1:13" x14ac:dyDescent="0.25">
      <c r="A15" s="101" t="s">
        <v>30</v>
      </c>
      <c r="B15" s="102"/>
      <c r="C15" s="103"/>
      <c r="D15" s="37" t="s">
        <v>31</v>
      </c>
      <c r="E15" s="48">
        <v>196.75</v>
      </c>
      <c r="F15" s="43">
        <v>162.75</v>
      </c>
      <c r="G15" s="43">
        <v>78.75</v>
      </c>
      <c r="H15" s="43">
        <v>64.75</v>
      </c>
      <c r="I15" s="47">
        <v>117</v>
      </c>
      <c r="J15" s="47">
        <v>44</v>
      </c>
      <c r="K15" s="150">
        <f t="shared" si="0"/>
        <v>1.391025641025641</v>
      </c>
      <c r="L15" s="157">
        <f t="shared" si="1"/>
        <v>24.442396313364071</v>
      </c>
      <c r="M15" s="164">
        <f t="shared" si="2"/>
        <v>34</v>
      </c>
    </row>
    <row r="16" spans="1:13" x14ac:dyDescent="0.25">
      <c r="A16" s="101" t="s">
        <v>32</v>
      </c>
      <c r="B16" s="102"/>
      <c r="C16" s="103"/>
      <c r="D16" s="32" t="s">
        <v>33</v>
      </c>
      <c r="E16" s="48">
        <v>56.5</v>
      </c>
      <c r="F16" s="43">
        <v>45</v>
      </c>
      <c r="G16" s="43">
        <v>15.5</v>
      </c>
      <c r="H16" s="43">
        <v>12.25</v>
      </c>
      <c r="I16" s="47">
        <v>35</v>
      </c>
      <c r="J16" s="47">
        <v>7</v>
      </c>
      <c r="K16" s="150">
        <f t="shared" si="0"/>
        <v>1.2857142857142858</v>
      </c>
      <c r="L16" s="157">
        <f t="shared" si="1"/>
        <v>8.9444444444444429</v>
      </c>
      <c r="M16" s="164">
        <f t="shared" si="2"/>
        <v>11.5</v>
      </c>
    </row>
    <row r="17" spans="1:13" x14ac:dyDescent="0.25">
      <c r="A17" s="101" t="s">
        <v>34</v>
      </c>
      <c r="B17" s="102"/>
      <c r="C17" s="103"/>
      <c r="D17" s="28" t="s">
        <v>35</v>
      </c>
      <c r="E17" s="48">
        <v>177.5</v>
      </c>
      <c r="F17" s="43">
        <v>157.25</v>
      </c>
      <c r="G17" s="43">
        <v>114.5</v>
      </c>
      <c r="H17" s="43">
        <v>100</v>
      </c>
      <c r="I17" s="47">
        <v>125</v>
      </c>
      <c r="J17" s="47">
        <v>78</v>
      </c>
      <c r="K17" s="150">
        <f t="shared" si="0"/>
        <v>1.258</v>
      </c>
      <c r="L17" s="157">
        <f t="shared" si="1"/>
        <v>16.096979332273463</v>
      </c>
      <c r="M17" s="164">
        <f t="shared" si="2"/>
        <v>20.25</v>
      </c>
    </row>
    <row r="18" spans="1:13" x14ac:dyDescent="0.25">
      <c r="A18" s="101" t="s">
        <v>36</v>
      </c>
      <c r="B18" s="102"/>
      <c r="C18" s="103"/>
      <c r="D18" s="37" t="s">
        <v>37</v>
      </c>
      <c r="E18" s="48">
        <v>36.5</v>
      </c>
      <c r="F18" s="43">
        <v>28.5</v>
      </c>
      <c r="G18" s="43">
        <v>19.25</v>
      </c>
      <c r="H18" s="43">
        <v>14</v>
      </c>
      <c r="I18" s="47">
        <v>22</v>
      </c>
      <c r="J18" s="47">
        <v>11</v>
      </c>
      <c r="K18" s="150">
        <f t="shared" si="0"/>
        <v>1.2954545454545454</v>
      </c>
      <c r="L18" s="157">
        <f t="shared" si="1"/>
        <v>6.1754385964912295</v>
      </c>
      <c r="M18" s="164">
        <f t="shared" si="2"/>
        <v>8</v>
      </c>
    </row>
    <row r="19" spans="1:13" x14ac:dyDescent="0.25">
      <c r="A19" s="101" t="s">
        <v>38</v>
      </c>
      <c r="B19" s="102"/>
      <c r="C19" s="103"/>
      <c r="D19" s="32" t="s">
        <v>39</v>
      </c>
      <c r="E19" s="48">
        <v>1361.25</v>
      </c>
      <c r="F19" s="43">
        <v>1221</v>
      </c>
      <c r="G19" s="43">
        <v>552.25</v>
      </c>
      <c r="H19" s="43">
        <v>490</v>
      </c>
      <c r="I19" s="47">
        <v>892</v>
      </c>
      <c r="J19" s="47">
        <v>384</v>
      </c>
      <c r="K19" s="150">
        <f t="shared" si="0"/>
        <v>1.3688340807174888</v>
      </c>
      <c r="L19" s="157">
        <f t="shared" si="1"/>
        <v>102.45945945945948</v>
      </c>
      <c r="M19" s="164">
        <f t="shared" si="2"/>
        <v>140.25</v>
      </c>
    </row>
    <row r="20" spans="1:13" x14ac:dyDescent="0.25">
      <c r="A20" s="101" t="s">
        <v>40</v>
      </c>
      <c r="B20" s="102"/>
      <c r="C20" s="103"/>
      <c r="D20" s="32" t="s">
        <v>41</v>
      </c>
      <c r="E20" s="43">
        <v>151.5</v>
      </c>
      <c r="F20" s="43">
        <v>139.5</v>
      </c>
      <c r="G20" s="43">
        <v>2</v>
      </c>
      <c r="H20" s="43">
        <v>2</v>
      </c>
      <c r="I20" s="47">
        <v>101</v>
      </c>
      <c r="J20" s="47">
        <v>1</v>
      </c>
      <c r="K20" s="150">
        <f t="shared" si="0"/>
        <v>1.3811881188118811</v>
      </c>
      <c r="L20" s="157">
        <f t="shared" si="1"/>
        <v>8.6881720430107663</v>
      </c>
      <c r="M20" s="164">
        <f t="shared" si="2"/>
        <v>12</v>
      </c>
    </row>
    <row r="21" spans="1:13" x14ac:dyDescent="0.25">
      <c r="A21" s="101" t="s">
        <v>42</v>
      </c>
      <c r="B21" s="102"/>
      <c r="C21" s="103"/>
      <c r="D21" s="32">
        <v>11</v>
      </c>
      <c r="E21" s="48">
        <v>121.5</v>
      </c>
      <c r="F21" s="43">
        <v>103.75</v>
      </c>
      <c r="G21" s="43">
        <v>63</v>
      </c>
      <c r="H21" s="43">
        <v>55.5</v>
      </c>
      <c r="I21" s="47">
        <v>68</v>
      </c>
      <c r="J21" s="47">
        <v>36</v>
      </c>
      <c r="K21" s="150">
        <f t="shared" si="0"/>
        <v>1.525735294117647</v>
      </c>
      <c r="L21" s="157">
        <f t="shared" si="1"/>
        <v>11.633734939759037</v>
      </c>
      <c r="M21" s="164">
        <f t="shared" si="2"/>
        <v>17.75</v>
      </c>
    </row>
    <row r="22" spans="1:13" x14ac:dyDescent="0.25">
      <c r="A22" s="101" t="s">
        <v>43</v>
      </c>
      <c r="B22" s="102"/>
      <c r="C22" s="103"/>
      <c r="D22" s="32">
        <v>12</v>
      </c>
      <c r="E22" s="48">
        <v>191</v>
      </c>
      <c r="F22" s="43">
        <v>167.5</v>
      </c>
      <c r="G22" s="43">
        <v>132.75</v>
      </c>
      <c r="H22" s="43">
        <v>113.5</v>
      </c>
      <c r="I22" s="47">
        <v>145</v>
      </c>
      <c r="J22" s="47">
        <v>101</v>
      </c>
      <c r="K22" s="150">
        <f t="shared" si="0"/>
        <v>1.1551724137931034</v>
      </c>
      <c r="L22" s="157">
        <f t="shared" si="1"/>
        <v>20.343283582089555</v>
      </c>
      <c r="M22" s="164">
        <f t="shared" si="2"/>
        <v>23.5</v>
      </c>
    </row>
    <row r="23" spans="1:13" x14ac:dyDescent="0.25">
      <c r="A23" s="101" t="s">
        <v>44</v>
      </c>
      <c r="B23" s="102"/>
      <c r="C23" s="103"/>
      <c r="D23" s="37">
        <v>13</v>
      </c>
      <c r="E23" s="48">
        <v>44</v>
      </c>
      <c r="F23" s="43">
        <v>36.25</v>
      </c>
      <c r="G23" s="43">
        <v>24.5</v>
      </c>
      <c r="H23" s="43">
        <v>22</v>
      </c>
      <c r="I23" s="47">
        <v>26</v>
      </c>
      <c r="J23" s="47">
        <v>15</v>
      </c>
      <c r="K23" s="150">
        <f t="shared" si="0"/>
        <v>1.3942307692307692</v>
      </c>
      <c r="L23" s="157">
        <f t="shared" si="1"/>
        <v>5.5586206896551751</v>
      </c>
      <c r="M23" s="164">
        <f t="shared" si="2"/>
        <v>7.75</v>
      </c>
    </row>
    <row r="24" spans="1:13" x14ac:dyDescent="0.25">
      <c r="A24" s="101" t="s">
        <v>45</v>
      </c>
      <c r="B24" s="102"/>
      <c r="C24" s="103"/>
      <c r="D24" s="32">
        <v>14</v>
      </c>
      <c r="E24" s="48">
        <v>193.25</v>
      </c>
      <c r="F24" s="43">
        <v>168.75</v>
      </c>
      <c r="G24" s="43">
        <v>66.75</v>
      </c>
      <c r="H24" s="43">
        <v>53</v>
      </c>
      <c r="I24" s="47">
        <v>121</v>
      </c>
      <c r="J24" s="47">
        <v>38</v>
      </c>
      <c r="K24" s="150">
        <f t="shared" si="0"/>
        <v>1.3946280991735538</v>
      </c>
      <c r="L24" s="157">
        <f t="shared" si="1"/>
        <v>17.567407407407387</v>
      </c>
      <c r="M24" s="164">
        <f t="shared" si="2"/>
        <v>24.5</v>
      </c>
    </row>
    <row r="25" spans="1:13" x14ac:dyDescent="0.25">
      <c r="A25" s="101" t="s">
        <v>46</v>
      </c>
      <c r="B25" s="102"/>
      <c r="C25" s="103"/>
      <c r="D25" s="32">
        <v>15</v>
      </c>
      <c r="E25" s="48">
        <v>49.75</v>
      </c>
      <c r="F25" s="43">
        <v>42.25</v>
      </c>
      <c r="G25" s="43">
        <v>16.25</v>
      </c>
      <c r="H25" s="43">
        <v>13.75</v>
      </c>
      <c r="I25" s="47">
        <v>31</v>
      </c>
      <c r="J25" s="47">
        <v>7</v>
      </c>
      <c r="K25" s="150">
        <f t="shared" si="0"/>
        <v>1.3629032258064515</v>
      </c>
      <c r="L25" s="157">
        <f t="shared" si="1"/>
        <v>5.5029585798816569</v>
      </c>
      <c r="M25" s="164">
        <f t="shared" si="2"/>
        <v>7.5</v>
      </c>
    </row>
    <row r="26" spans="1:13" x14ac:dyDescent="0.25">
      <c r="A26" s="101" t="s">
        <v>47</v>
      </c>
      <c r="B26" s="102"/>
      <c r="C26" s="103"/>
      <c r="D26" s="38">
        <v>16</v>
      </c>
      <c r="E26" s="48">
        <v>635.5</v>
      </c>
      <c r="F26" s="43">
        <v>575.75</v>
      </c>
      <c r="G26" s="43">
        <v>485.25</v>
      </c>
      <c r="H26" s="43">
        <v>441.75</v>
      </c>
      <c r="I26" s="47">
        <v>433</v>
      </c>
      <c r="J26" s="47">
        <v>342</v>
      </c>
      <c r="K26" s="150">
        <f t="shared" si="0"/>
        <v>1.329676674364896</v>
      </c>
      <c r="L26" s="157">
        <f t="shared" si="1"/>
        <v>44.935735996526319</v>
      </c>
      <c r="M26" s="164">
        <f t="shared" si="2"/>
        <v>59.75</v>
      </c>
    </row>
    <row r="27" spans="1:13" x14ac:dyDescent="0.25">
      <c r="A27" s="101" t="s">
        <v>48</v>
      </c>
      <c r="B27" s="102"/>
      <c r="C27" s="103"/>
      <c r="D27" s="38">
        <v>17</v>
      </c>
      <c r="E27" s="48">
        <v>123</v>
      </c>
      <c r="F27" s="43">
        <v>112</v>
      </c>
      <c r="G27" s="43">
        <v>94</v>
      </c>
      <c r="H27" s="43">
        <v>87.25</v>
      </c>
      <c r="I27" s="47">
        <v>84</v>
      </c>
      <c r="J27" s="47">
        <v>62</v>
      </c>
      <c r="K27" s="150">
        <f t="shared" si="0"/>
        <v>1.3333333333333333</v>
      </c>
      <c r="L27" s="157">
        <f t="shared" si="1"/>
        <v>8.25</v>
      </c>
      <c r="M27" s="164">
        <f t="shared" si="2"/>
        <v>11</v>
      </c>
    </row>
    <row r="28" spans="1:13" x14ac:dyDescent="0.25">
      <c r="A28" s="101" t="s">
        <v>49</v>
      </c>
      <c r="B28" s="102"/>
      <c r="C28" s="103"/>
      <c r="D28" s="37">
        <v>18</v>
      </c>
      <c r="E28" s="48">
        <v>75.25</v>
      </c>
      <c r="F28" s="43">
        <v>65.25</v>
      </c>
      <c r="G28" s="43">
        <v>60.25</v>
      </c>
      <c r="H28" s="43">
        <v>50.75</v>
      </c>
      <c r="I28" s="47">
        <v>51</v>
      </c>
      <c r="J28" s="47">
        <v>41</v>
      </c>
      <c r="K28" s="150">
        <f t="shared" si="0"/>
        <v>1.2794117647058822</v>
      </c>
      <c r="L28" s="157">
        <f t="shared" si="1"/>
        <v>7.8160919540229941</v>
      </c>
      <c r="M28" s="164">
        <f t="shared" si="2"/>
        <v>10</v>
      </c>
    </row>
    <row r="29" spans="1:13" x14ac:dyDescent="0.25">
      <c r="A29" s="101" t="s">
        <v>50</v>
      </c>
      <c r="B29" s="102"/>
      <c r="C29" s="103"/>
      <c r="D29" s="42">
        <v>19</v>
      </c>
      <c r="E29" s="48">
        <v>60.75</v>
      </c>
      <c r="F29" s="43">
        <v>50</v>
      </c>
      <c r="G29" s="43">
        <v>35.25</v>
      </c>
      <c r="H29" s="43">
        <v>31.75</v>
      </c>
      <c r="I29" s="47">
        <v>35</v>
      </c>
      <c r="J29" s="47">
        <v>23</v>
      </c>
      <c r="K29" s="150">
        <f t="shared" si="0"/>
        <v>1.4285714285714286</v>
      </c>
      <c r="L29" s="157">
        <f t="shared" si="1"/>
        <v>7.5249999999999986</v>
      </c>
      <c r="M29" s="164">
        <f t="shared" si="2"/>
        <v>10.75</v>
      </c>
    </row>
    <row r="30" spans="1:13" x14ac:dyDescent="0.25">
      <c r="A30" s="101" t="s">
        <v>51</v>
      </c>
      <c r="B30" s="102"/>
      <c r="C30" s="103"/>
      <c r="D30" s="42">
        <v>20</v>
      </c>
      <c r="E30" s="48">
        <v>103.75</v>
      </c>
      <c r="F30" s="43">
        <v>85</v>
      </c>
      <c r="G30" s="43">
        <v>32</v>
      </c>
      <c r="H30" s="43">
        <v>23.25</v>
      </c>
      <c r="I30" s="47">
        <v>60</v>
      </c>
      <c r="J30" s="47">
        <v>16</v>
      </c>
      <c r="K30" s="150">
        <f t="shared" si="0"/>
        <v>1.4166666666666667</v>
      </c>
      <c r="L30" s="157">
        <f t="shared" si="1"/>
        <v>13.235294117647058</v>
      </c>
      <c r="M30" s="164">
        <f t="shared" si="2"/>
        <v>18.75</v>
      </c>
    </row>
    <row r="31" spans="1:13" x14ac:dyDescent="0.25">
      <c r="A31" s="101" t="s">
        <v>52</v>
      </c>
      <c r="B31" s="102"/>
      <c r="C31" s="103"/>
      <c r="D31" s="32">
        <v>21</v>
      </c>
      <c r="E31" s="48">
        <v>93.25</v>
      </c>
      <c r="F31" s="43">
        <v>74.25</v>
      </c>
      <c r="G31" s="43">
        <v>15.25</v>
      </c>
      <c r="H31" s="43">
        <v>15.25</v>
      </c>
      <c r="I31" s="47">
        <v>62</v>
      </c>
      <c r="J31" s="47">
        <v>11</v>
      </c>
      <c r="K31" s="150">
        <f t="shared" si="0"/>
        <v>1.1975806451612903</v>
      </c>
      <c r="L31" s="157">
        <f t="shared" si="1"/>
        <v>15.865319865319876</v>
      </c>
      <c r="M31" s="164">
        <f t="shared" si="2"/>
        <v>19</v>
      </c>
    </row>
    <row r="32" spans="1:13" x14ac:dyDescent="0.25">
      <c r="A32" s="101" t="s">
        <v>53</v>
      </c>
      <c r="B32" s="102"/>
      <c r="C32" s="103"/>
      <c r="D32" s="42">
        <v>22</v>
      </c>
      <c r="E32" s="48">
        <v>932.5</v>
      </c>
      <c r="F32" s="43">
        <v>801.5</v>
      </c>
      <c r="G32" s="43">
        <v>396.25</v>
      </c>
      <c r="H32" s="43">
        <v>345.25</v>
      </c>
      <c r="I32" s="47">
        <v>619</v>
      </c>
      <c r="J32" s="47">
        <v>261</v>
      </c>
      <c r="K32" s="150">
        <f t="shared" si="0"/>
        <v>1.2948303715670437</v>
      </c>
      <c r="L32" s="157">
        <f t="shared" si="1"/>
        <v>101.17155333749213</v>
      </c>
      <c r="M32" s="164">
        <f t="shared" si="2"/>
        <v>131</v>
      </c>
    </row>
    <row r="33" spans="1:13" x14ac:dyDescent="0.25">
      <c r="A33" s="83" t="s">
        <v>54</v>
      </c>
      <c r="B33" s="84"/>
      <c r="C33" s="85"/>
      <c r="D33" s="42" t="s">
        <v>55</v>
      </c>
      <c r="E33" s="43">
        <v>0.25</v>
      </c>
      <c r="F33" s="43">
        <v>0.25</v>
      </c>
      <c r="G33" s="43">
        <v>0.25</v>
      </c>
      <c r="H33" s="43">
        <v>0.25</v>
      </c>
      <c r="I33" s="47">
        <v>0</v>
      </c>
      <c r="J33" s="47">
        <v>0</v>
      </c>
      <c r="K33" s="150"/>
      <c r="L33" s="157"/>
      <c r="M33" s="164"/>
    </row>
    <row r="34" spans="1:13" x14ac:dyDescent="0.25">
      <c r="A34" s="101" t="s">
        <v>56</v>
      </c>
      <c r="B34" s="102"/>
      <c r="C34" s="103"/>
      <c r="D34" s="32">
        <v>23</v>
      </c>
      <c r="E34" s="48">
        <v>346</v>
      </c>
      <c r="F34" s="43">
        <v>323</v>
      </c>
      <c r="G34" s="43">
        <v>33.5</v>
      </c>
      <c r="H34" s="43">
        <v>30.5</v>
      </c>
      <c r="I34" s="47">
        <v>216</v>
      </c>
      <c r="J34" s="47">
        <v>19</v>
      </c>
      <c r="K34" s="150">
        <f t="shared" si="0"/>
        <v>1.4953703703703705</v>
      </c>
      <c r="L34" s="157">
        <f t="shared" si="1"/>
        <v>15.380804953560357</v>
      </c>
      <c r="M34" s="164">
        <f t="shared" si="2"/>
        <v>23</v>
      </c>
    </row>
    <row r="35" spans="1:13" x14ac:dyDescent="0.25">
      <c r="A35" s="89" t="s">
        <v>57</v>
      </c>
      <c r="B35" s="90"/>
      <c r="C35" s="91"/>
      <c r="D35" s="28">
        <v>24</v>
      </c>
      <c r="E35" s="48">
        <v>1067.75</v>
      </c>
      <c r="F35" s="43">
        <v>837.75</v>
      </c>
      <c r="G35" s="43">
        <v>445.5</v>
      </c>
      <c r="H35" s="43">
        <v>368.25</v>
      </c>
      <c r="I35" s="47">
        <v>560</v>
      </c>
      <c r="J35" s="47">
        <v>253</v>
      </c>
      <c r="K35" s="150">
        <f t="shared" si="0"/>
        <v>1.4959821428571429</v>
      </c>
      <c r="L35" s="157">
        <f t="shared" si="1"/>
        <v>153.74515070128314</v>
      </c>
      <c r="M35" s="164">
        <f t="shared" si="2"/>
        <v>230</v>
      </c>
    </row>
    <row r="36" spans="1:13" x14ac:dyDescent="0.25">
      <c r="A36" s="101" t="s">
        <v>58</v>
      </c>
      <c r="B36" s="102"/>
      <c r="C36" s="103"/>
      <c r="D36" s="112" t="s">
        <v>59</v>
      </c>
      <c r="E36" s="108">
        <v>395.5</v>
      </c>
      <c r="F36" s="108">
        <v>301.75</v>
      </c>
      <c r="G36" s="108">
        <v>181.25</v>
      </c>
      <c r="H36" s="108">
        <v>152</v>
      </c>
      <c r="I36" s="110">
        <v>210</v>
      </c>
      <c r="J36" s="110">
        <v>115</v>
      </c>
      <c r="K36" s="151">
        <f t="shared" si="0"/>
        <v>1.4369047619047619</v>
      </c>
      <c r="L36" s="158">
        <f t="shared" si="1"/>
        <v>65.244407622203823</v>
      </c>
      <c r="M36" s="165">
        <f t="shared" si="2"/>
        <v>93.75</v>
      </c>
    </row>
    <row r="37" spans="1:13" x14ac:dyDescent="0.25">
      <c r="A37" s="105" t="s">
        <v>60</v>
      </c>
      <c r="B37" s="106"/>
      <c r="C37" s="106"/>
      <c r="D37" s="113"/>
      <c r="E37" s="109"/>
      <c r="F37" s="109"/>
      <c r="G37" s="109"/>
      <c r="H37" s="109"/>
      <c r="I37" s="111"/>
      <c r="J37" s="111"/>
      <c r="K37" s="152"/>
      <c r="L37" s="159"/>
      <c r="M37" s="166"/>
    </row>
    <row r="38" spans="1:13" x14ac:dyDescent="0.25">
      <c r="A38" s="101" t="s">
        <v>61</v>
      </c>
      <c r="B38" s="102"/>
      <c r="C38" s="103"/>
      <c r="D38" s="42" t="s">
        <v>62</v>
      </c>
      <c r="E38" s="43">
        <v>81.75</v>
      </c>
      <c r="F38" s="43">
        <v>64.5</v>
      </c>
      <c r="G38" s="43">
        <v>26</v>
      </c>
      <c r="H38" s="43">
        <v>22.25</v>
      </c>
      <c r="I38" s="47">
        <v>47</v>
      </c>
      <c r="J38" s="47">
        <v>12</v>
      </c>
      <c r="K38" s="150">
        <f t="shared" si="0"/>
        <v>1.3723404255319149</v>
      </c>
      <c r="L38" s="157">
        <f t="shared" si="1"/>
        <v>12.569767441860463</v>
      </c>
      <c r="M38" s="164">
        <f t="shared" si="2"/>
        <v>17.25</v>
      </c>
    </row>
    <row r="39" spans="1:13" x14ac:dyDescent="0.25">
      <c r="A39" s="101" t="s">
        <v>63</v>
      </c>
      <c r="B39" s="102"/>
      <c r="C39" s="103"/>
      <c r="D39" s="32" t="s">
        <v>64</v>
      </c>
      <c r="E39" s="43">
        <v>154</v>
      </c>
      <c r="F39" s="43">
        <v>113.75</v>
      </c>
      <c r="G39" s="43">
        <v>63.75</v>
      </c>
      <c r="H39" s="43">
        <v>45</v>
      </c>
      <c r="I39" s="47">
        <v>63</v>
      </c>
      <c r="J39" s="47">
        <v>27</v>
      </c>
      <c r="K39" s="150">
        <f t="shared" si="0"/>
        <v>1.8055555555555556</v>
      </c>
      <c r="L39" s="157">
        <f t="shared" si="1"/>
        <v>22.292307692307688</v>
      </c>
      <c r="M39" s="164">
        <f t="shared" si="2"/>
        <v>40.25</v>
      </c>
    </row>
    <row r="40" spans="1:13" x14ac:dyDescent="0.25">
      <c r="A40" s="101" t="s">
        <v>65</v>
      </c>
      <c r="B40" s="102"/>
      <c r="C40" s="103"/>
      <c r="D40" s="28">
        <v>25</v>
      </c>
      <c r="E40" s="48">
        <v>4.25</v>
      </c>
      <c r="F40" s="43">
        <v>2.5</v>
      </c>
      <c r="G40" s="43">
        <v>3.5</v>
      </c>
      <c r="H40" s="43">
        <v>1.75</v>
      </c>
      <c r="I40" s="47">
        <v>1</v>
      </c>
      <c r="J40" s="47">
        <v>1</v>
      </c>
      <c r="K40" s="150">
        <f t="shared" si="0"/>
        <v>2.5</v>
      </c>
      <c r="L40" s="157">
        <f t="shared" si="1"/>
        <v>0.7</v>
      </c>
      <c r="M40" s="164">
        <f t="shared" si="2"/>
        <v>1.75</v>
      </c>
    </row>
    <row r="41" spans="1:13" x14ac:dyDescent="0.25">
      <c r="A41" s="89" t="s">
        <v>66</v>
      </c>
      <c r="B41" s="90"/>
      <c r="C41" s="91"/>
      <c r="D41" s="30">
        <v>26</v>
      </c>
      <c r="E41" s="48">
        <v>93.25</v>
      </c>
      <c r="F41" s="43">
        <v>82</v>
      </c>
      <c r="G41" s="43">
        <v>91.25</v>
      </c>
      <c r="H41" s="43">
        <v>80.75</v>
      </c>
      <c r="I41" s="47">
        <v>42</v>
      </c>
      <c r="J41" s="47">
        <v>42</v>
      </c>
      <c r="K41" s="150">
        <f t="shared" si="0"/>
        <v>1.9523809523809523</v>
      </c>
      <c r="L41" s="157">
        <f t="shared" si="1"/>
        <v>5.7621951219512226</v>
      </c>
      <c r="M41" s="164">
        <f t="shared" si="2"/>
        <v>11.25</v>
      </c>
    </row>
    <row r="42" spans="1:13" x14ac:dyDescent="0.25">
      <c r="A42" s="89" t="s">
        <v>67</v>
      </c>
      <c r="B42" s="90"/>
      <c r="C42" s="91"/>
      <c r="D42" s="28">
        <v>27</v>
      </c>
      <c r="E42" s="48">
        <v>789.25</v>
      </c>
      <c r="F42" s="43">
        <v>704.75</v>
      </c>
      <c r="G42" s="43">
        <v>454.75</v>
      </c>
      <c r="H42" s="43">
        <v>407.25</v>
      </c>
      <c r="I42" s="47">
        <v>426</v>
      </c>
      <c r="J42" s="47">
        <v>248</v>
      </c>
      <c r="K42" s="150">
        <f t="shared" si="0"/>
        <v>1.6543427230046948</v>
      </c>
      <c r="L42" s="157">
        <f t="shared" si="1"/>
        <v>51.077687123093312</v>
      </c>
      <c r="M42" s="164">
        <f t="shared" si="2"/>
        <v>84.5</v>
      </c>
    </row>
    <row r="43" spans="1:13" x14ac:dyDescent="0.25">
      <c r="A43" s="117" t="s">
        <v>68</v>
      </c>
      <c r="B43" s="118"/>
      <c r="C43" s="119"/>
      <c r="D43" s="31">
        <v>28</v>
      </c>
      <c r="E43" s="48">
        <v>31.75</v>
      </c>
      <c r="F43" s="43">
        <v>30.5</v>
      </c>
      <c r="G43" s="43">
        <v>0</v>
      </c>
      <c r="H43" s="43">
        <v>0</v>
      </c>
      <c r="I43" s="47">
        <v>19</v>
      </c>
      <c r="J43" s="47">
        <v>0</v>
      </c>
      <c r="K43" s="150">
        <f t="shared" si="0"/>
        <v>1.6052631578947369</v>
      </c>
      <c r="L43" s="157">
        <f t="shared" si="1"/>
        <v>0.77868852459016225</v>
      </c>
      <c r="M43" s="164">
        <f t="shared" si="2"/>
        <v>1.25</v>
      </c>
    </row>
    <row r="44" spans="1:13" x14ac:dyDescent="0.25">
      <c r="A44" s="117" t="s">
        <v>69</v>
      </c>
      <c r="B44" s="118"/>
      <c r="C44" s="119"/>
      <c r="D44" s="38">
        <v>29</v>
      </c>
      <c r="E44" s="48">
        <v>12.25</v>
      </c>
      <c r="F44" s="43">
        <v>12.25</v>
      </c>
      <c r="G44" s="43">
        <v>0</v>
      </c>
      <c r="H44" s="43">
        <v>0</v>
      </c>
      <c r="I44" s="47">
        <v>10</v>
      </c>
      <c r="J44" s="47">
        <v>0</v>
      </c>
      <c r="K44" s="150">
        <f t="shared" si="0"/>
        <v>1.2250000000000001</v>
      </c>
      <c r="L44" s="157"/>
      <c r="M44" s="164"/>
    </row>
    <row r="45" spans="1:13" x14ac:dyDescent="0.25">
      <c r="A45" s="114" t="s">
        <v>70</v>
      </c>
      <c r="B45" s="115"/>
      <c r="C45" s="116"/>
      <c r="D45" s="32">
        <v>30</v>
      </c>
      <c r="E45" s="48">
        <v>2816.25</v>
      </c>
      <c r="F45" s="43">
        <v>2599.75</v>
      </c>
      <c r="G45" s="43">
        <v>967.5</v>
      </c>
      <c r="H45" s="43">
        <v>875.75</v>
      </c>
      <c r="I45" s="47">
        <v>1829</v>
      </c>
      <c r="J45" s="47">
        <v>658</v>
      </c>
      <c r="K45" s="150">
        <f t="shared" si="0"/>
        <v>1.4214051394204483</v>
      </c>
      <c r="L45" s="157">
        <f t="shared" si="1"/>
        <v>152.31406866044813</v>
      </c>
      <c r="M45" s="164">
        <f t="shared" si="2"/>
        <v>216.5</v>
      </c>
    </row>
    <row r="46" spans="1:13" x14ac:dyDescent="0.25">
      <c r="A46" s="101" t="s">
        <v>71</v>
      </c>
      <c r="B46" s="102"/>
      <c r="C46" s="103"/>
      <c r="D46" s="38" t="s">
        <v>72</v>
      </c>
      <c r="E46" s="43">
        <v>2324.25</v>
      </c>
      <c r="F46" s="43">
        <v>2151.75</v>
      </c>
      <c r="G46" s="43">
        <v>825.75</v>
      </c>
      <c r="H46" s="43">
        <v>748</v>
      </c>
      <c r="I46" s="47">
        <v>1496</v>
      </c>
      <c r="J46" s="47">
        <v>568</v>
      </c>
      <c r="K46" s="150">
        <f t="shared" si="0"/>
        <v>1.4383355614973261</v>
      </c>
      <c r="L46" s="157">
        <f t="shared" si="1"/>
        <v>119.9302892994076</v>
      </c>
      <c r="M46" s="164">
        <f t="shared" si="2"/>
        <v>172.5</v>
      </c>
    </row>
    <row r="47" spans="1:13" x14ac:dyDescent="0.25">
      <c r="A47" s="101" t="s">
        <v>73</v>
      </c>
      <c r="B47" s="102"/>
      <c r="C47" s="103"/>
      <c r="D47" s="32" t="s">
        <v>74</v>
      </c>
      <c r="E47" s="43">
        <v>89.5</v>
      </c>
      <c r="F47" s="43">
        <v>84.5</v>
      </c>
      <c r="G47" s="43">
        <v>3.75</v>
      </c>
      <c r="H47" s="43">
        <v>3.75</v>
      </c>
      <c r="I47" s="47">
        <v>65</v>
      </c>
      <c r="J47" s="47">
        <v>1</v>
      </c>
      <c r="K47" s="150">
        <f t="shared" si="0"/>
        <v>1.3</v>
      </c>
      <c r="L47" s="157">
        <f t="shared" si="1"/>
        <v>3.8461538461538396</v>
      </c>
      <c r="M47" s="164">
        <f t="shared" si="2"/>
        <v>5</v>
      </c>
    </row>
    <row r="48" spans="1:13" x14ac:dyDescent="0.25">
      <c r="A48" s="101" t="s">
        <v>75</v>
      </c>
      <c r="B48" s="102"/>
      <c r="C48" s="103"/>
      <c r="D48" s="38" t="s">
        <v>76</v>
      </c>
      <c r="E48" s="43">
        <v>63.5</v>
      </c>
      <c r="F48" s="43">
        <v>59.75</v>
      </c>
      <c r="G48" s="43">
        <v>20.5</v>
      </c>
      <c r="H48" s="43">
        <v>18.5</v>
      </c>
      <c r="I48" s="47">
        <v>32</v>
      </c>
      <c r="J48" s="47">
        <v>6</v>
      </c>
      <c r="K48" s="150">
        <f t="shared" si="0"/>
        <v>1.8671875</v>
      </c>
      <c r="L48" s="157">
        <f t="shared" si="1"/>
        <v>2.00836820083682</v>
      </c>
      <c r="M48" s="164">
        <f t="shared" si="2"/>
        <v>3.75</v>
      </c>
    </row>
    <row r="49" spans="1:13" x14ac:dyDescent="0.25">
      <c r="A49" s="101" t="s">
        <v>77</v>
      </c>
      <c r="B49" s="102"/>
      <c r="C49" s="103"/>
      <c r="D49" s="32" t="s">
        <v>78</v>
      </c>
      <c r="E49" s="43">
        <v>14.5</v>
      </c>
      <c r="F49" s="43">
        <v>9.5</v>
      </c>
      <c r="G49" s="43">
        <v>0</v>
      </c>
      <c r="H49" s="43">
        <v>0</v>
      </c>
      <c r="I49" s="47">
        <v>8</v>
      </c>
      <c r="J49" s="47">
        <v>0</v>
      </c>
      <c r="K49" s="150">
        <f t="shared" si="0"/>
        <v>1.1875</v>
      </c>
      <c r="L49" s="157">
        <f t="shared" si="1"/>
        <v>4.2105263157894743</v>
      </c>
      <c r="M49" s="164">
        <f t="shared" si="2"/>
        <v>5</v>
      </c>
    </row>
    <row r="50" spans="1:13" x14ac:dyDescent="0.25">
      <c r="A50" s="101" t="s">
        <v>79</v>
      </c>
      <c r="B50" s="102"/>
      <c r="C50" s="103"/>
      <c r="D50" s="38">
        <v>31</v>
      </c>
      <c r="E50" s="48">
        <v>513</v>
      </c>
      <c r="F50" s="43">
        <v>470.75</v>
      </c>
      <c r="G50" s="43">
        <v>166.75</v>
      </c>
      <c r="H50" s="43">
        <v>148</v>
      </c>
      <c r="I50" s="47">
        <v>327</v>
      </c>
      <c r="J50" s="47">
        <v>94</v>
      </c>
      <c r="K50" s="150">
        <f t="shared" si="0"/>
        <v>1.4396024464831805</v>
      </c>
      <c r="L50" s="157">
        <f t="shared" si="1"/>
        <v>29.348380244291036</v>
      </c>
      <c r="M50" s="164">
        <f t="shared" si="2"/>
        <v>42.25</v>
      </c>
    </row>
    <row r="51" spans="1:13" x14ac:dyDescent="0.25">
      <c r="A51" s="101" t="s">
        <v>80</v>
      </c>
      <c r="B51" s="102"/>
      <c r="C51" s="103"/>
      <c r="D51" s="32">
        <v>32</v>
      </c>
      <c r="E51" s="48">
        <v>197.5</v>
      </c>
      <c r="F51" s="43">
        <v>186.25</v>
      </c>
      <c r="G51" s="43">
        <v>6.75</v>
      </c>
      <c r="H51" s="43">
        <v>5</v>
      </c>
      <c r="I51" s="47">
        <v>137</v>
      </c>
      <c r="J51" s="47">
        <v>1</v>
      </c>
      <c r="K51" s="150">
        <f t="shared" si="0"/>
        <v>1.3594890510948905</v>
      </c>
      <c r="L51" s="157">
        <f t="shared" si="1"/>
        <v>8.2751677852349133</v>
      </c>
      <c r="M51" s="164">
        <f t="shared" si="2"/>
        <v>11.25</v>
      </c>
    </row>
    <row r="52" spans="1:13" x14ac:dyDescent="0.25">
      <c r="A52" s="101" t="s">
        <v>81</v>
      </c>
      <c r="B52" s="102"/>
      <c r="C52" s="103"/>
      <c r="D52" s="38">
        <v>33</v>
      </c>
      <c r="E52" s="48">
        <v>54.75</v>
      </c>
      <c r="F52" s="43">
        <v>48.25</v>
      </c>
      <c r="G52" s="43">
        <v>5.25</v>
      </c>
      <c r="H52" s="43">
        <v>4.25</v>
      </c>
      <c r="I52" s="47">
        <v>37</v>
      </c>
      <c r="J52" s="47">
        <v>3</v>
      </c>
      <c r="K52" s="150">
        <f t="shared" si="0"/>
        <v>1.3040540540540539</v>
      </c>
      <c r="L52" s="157">
        <f t="shared" si="1"/>
        <v>4.9844559585492263</v>
      </c>
      <c r="M52" s="164">
        <f t="shared" si="2"/>
        <v>6.5</v>
      </c>
    </row>
    <row r="53" spans="1:13" x14ac:dyDescent="0.25">
      <c r="A53" s="101" t="s">
        <v>82</v>
      </c>
      <c r="B53" s="102"/>
      <c r="C53" s="103"/>
      <c r="D53" s="32">
        <v>34</v>
      </c>
      <c r="E53" s="48">
        <v>263</v>
      </c>
      <c r="F53" s="43">
        <v>232</v>
      </c>
      <c r="G53" s="43">
        <v>28.75</v>
      </c>
      <c r="H53" s="43">
        <v>23.5</v>
      </c>
      <c r="I53" s="47">
        <v>142</v>
      </c>
      <c r="J53" s="47">
        <v>13</v>
      </c>
      <c r="K53" s="150">
        <f t="shared" si="0"/>
        <v>1.6338028169014085</v>
      </c>
      <c r="L53" s="157">
        <f t="shared" si="1"/>
        <v>18.974137931034477</v>
      </c>
      <c r="M53" s="164">
        <f t="shared" si="2"/>
        <v>31</v>
      </c>
    </row>
    <row r="54" spans="1:13" x14ac:dyDescent="0.25">
      <c r="A54" s="101" t="s">
        <v>83</v>
      </c>
      <c r="B54" s="102"/>
      <c r="C54" s="103"/>
      <c r="D54" s="32">
        <v>35</v>
      </c>
      <c r="E54" s="48">
        <v>8.75</v>
      </c>
      <c r="F54" s="43">
        <v>6.75</v>
      </c>
      <c r="G54" s="43">
        <v>0.25</v>
      </c>
      <c r="H54" s="43">
        <v>0.25</v>
      </c>
      <c r="I54" s="47">
        <v>6</v>
      </c>
      <c r="J54" s="47">
        <v>0</v>
      </c>
      <c r="K54" s="150">
        <f t="shared" si="0"/>
        <v>1.125</v>
      </c>
      <c r="L54" s="157">
        <f t="shared" si="1"/>
        <v>1.7777777777777777</v>
      </c>
      <c r="M54" s="164">
        <f t="shared" si="2"/>
        <v>2</v>
      </c>
    </row>
    <row r="55" spans="1:13" x14ac:dyDescent="0.25">
      <c r="A55" s="101" t="s">
        <v>84</v>
      </c>
      <c r="B55" s="102"/>
      <c r="C55" s="103"/>
      <c r="D55" s="32">
        <v>36</v>
      </c>
      <c r="E55" s="48">
        <v>1281.25</v>
      </c>
      <c r="F55" s="43">
        <v>1178</v>
      </c>
      <c r="G55" s="43">
        <v>395.75</v>
      </c>
      <c r="H55" s="43">
        <v>347.25</v>
      </c>
      <c r="I55" s="47">
        <v>803</v>
      </c>
      <c r="J55" s="47">
        <v>226</v>
      </c>
      <c r="K55" s="150">
        <f t="shared" si="0"/>
        <v>1.4669987546699876</v>
      </c>
      <c r="L55" s="157">
        <f t="shared" si="1"/>
        <v>70.381791171477062</v>
      </c>
      <c r="M55" s="164">
        <f t="shared" si="2"/>
        <v>103.25</v>
      </c>
    </row>
    <row r="56" spans="1:13" x14ac:dyDescent="0.25">
      <c r="A56" s="101" t="s">
        <v>85</v>
      </c>
      <c r="B56" s="102"/>
      <c r="C56" s="103"/>
      <c r="D56" s="38" t="s">
        <v>86</v>
      </c>
      <c r="E56" s="43">
        <v>41.25</v>
      </c>
      <c r="F56" s="43">
        <v>38.25</v>
      </c>
      <c r="G56" s="43">
        <v>2</v>
      </c>
      <c r="H56" s="43">
        <v>1.75</v>
      </c>
      <c r="I56" s="47">
        <v>30</v>
      </c>
      <c r="J56" s="47">
        <v>0</v>
      </c>
      <c r="K56" s="150">
        <f t="shared" si="0"/>
        <v>1.2749999999999999</v>
      </c>
      <c r="L56" s="157">
        <f t="shared" si="1"/>
        <v>2.352941176470587</v>
      </c>
      <c r="M56" s="164">
        <f t="shared" si="2"/>
        <v>3</v>
      </c>
    </row>
    <row r="57" spans="1:13" x14ac:dyDescent="0.25">
      <c r="A57" s="101" t="s">
        <v>87</v>
      </c>
      <c r="B57" s="102"/>
      <c r="C57" s="103"/>
      <c r="D57" s="32">
        <v>37</v>
      </c>
      <c r="E57" s="48">
        <v>325.75</v>
      </c>
      <c r="F57" s="43">
        <v>296.75</v>
      </c>
      <c r="G57" s="43">
        <v>86</v>
      </c>
      <c r="H57" s="43">
        <v>75.75</v>
      </c>
      <c r="I57" s="47">
        <v>187</v>
      </c>
      <c r="J57" s="47">
        <v>40</v>
      </c>
      <c r="K57" s="150">
        <f t="shared" si="0"/>
        <v>1.5868983957219251</v>
      </c>
      <c r="L57" s="157">
        <f t="shared" si="1"/>
        <v>18.27464195450716</v>
      </c>
      <c r="M57" s="164">
        <f t="shared" si="2"/>
        <v>29</v>
      </c>
    </row>
    <row r="58" spans="1:13" x14ac:dyDescent="0.25">
      <c r="A58" s="101" t="s">
        <v>88</v>
      </c>
      <c r="B58" s="102"/>
      <c r="C58" s="103"/>
      <c r="D58" s="28" t="s">
        <v>89</v>
      </c>
      <c r="E58" s="43">
        <v>22.75</v>
      </c>
      <c r="F58" s="43">
        <v>21.5</v>
      </c>
      <c r="G58" s="43">
        <v>1</v>
      </c>
      <c r="H58" s="43">
        <v>0.5</v>
      </c>
      <c r="I58" s="47">
        <v>17</v>
      </c>
      <c r="J58" s="47">
        <v>0</v>
      </c>
      <c r="K58" s="150">
        <f t="shared" si="0"/>
        <v>1.2647058823529411</v>
      </c>
      <c r="L58" s="157">
        <f t="shared" si="1"/>
        <v>0.98837209302325491</v>
      </c>
      <c r="M58" s="164">
        <f t="shared" si="2"/>
        <v>1.25</v>
      </c>
    </row>
    <row r="59" spans="1:13" x14ac:dyDescent="0.25">
      <c r="A59" s="101" t="s">
        <v>90</v>
      </c>
      <c r="B59" s="102"/>
      <c r="C59" s="103"/>
      <c r="D59" s="28">
        <v>38</v>
      </c>
      <c r="E59" s="48">
        <v>511</v>
      </c>
      <c r="F59" s="43">
        <v>476</v>
      </c>
      <c r="G59" s="43">
        <v>230.5</v>
      </c>
      <c r="H59" s="43">
        <v>207.5</v>
      </c>
      <c r="I59" s="47">
        <v>377</v>
      </c>
      <c r="J59" s="47">
        <v>156</v>
      </c>
      <c r="K59" s="150">
        <f t="shared" si="0"/>
        <v>1.2625994694960212</v>
      </c>
      <c r="L59" s="157">
        <f t="shared" si="1"/>
        <v>27.720588235294144</v>
      </c>
      <c r="M59" s="164">
        <f t="shared" si="2"/>
        <v>35</v>
      </c>
    </row>
    <row r="60" spans="1:13" x14ac:dyDescent="0.25">
      <c r="A60" s="101" t="s">
        <v>91</v>
      </c>
      <c r="B60" s="102"/>
      <c r="C60" s="103"/>
      <c r="D60" s="28" t="s">
        <v>92</v>
      </c>
      <c r="E60" s="43">
        <v>6.5</v>
      </c>
      <c r="F60" s="43">
        <v>6.5</v>
      </c>
      <c r="G60" s="43">
        <v>2.5</v>
      </c>
      <c r="H60" s="43">
        <v>2.5</v>
      </c>
      <c r="I60" s="47">
        <v>4</v>
      </c>
      <c r="J60" s="47">
        <v>0</v>
      </c>
      <c r="K60" s="150">
        <f t="shared" si="0"/>
        <v>1.625</v>
      </c>
      <c r="L60" s="157"/>
      <c r="M60" s="164"/>
    </row>
    <row r="61" spans="1:13" x14ac:dyDescent="0.25">
      <c r="A61" s="101" t="s">
        <v>93</v>
      </c>
      <c r="B61" s="102"/>
      <c r="C61" s="103"/>
      <c r="D61" s="28">
        <v>39</v>
      </c>
      <c r="E61" s="48">
        <v>48</v>
      </c>
      <c r="F61" s="43">
        <v>45.25</v>
      </c>
      <c r="G61" s="43">
        <v>14.5</v>
      </c>
      <c r="H61" s="43">
        <v>14</v>
      </c>
      <c r="I61" s="47">
        <v>31</v>
      </c>
      <c r="J61" s="47">
        <v>5</v>
      </c>
      <c r="K61" s="150">
        <f t="shared" si="0"/>
        <v>1.4596774193548387</v>
      </c>
      <c r="L61" s="157">
        <f t="shared" si="1"/>
        <v>1.8839779005524875</v>
      </c>
      <c r="M61" s="164">
        <f t="shared" si="2"/>
        <v>2.75</v>
      </c>
    </row>
    <row r="62" spans="1:13" x14ac:dyDescent="0.25">
      <c r="A62" s="101" t="s">
        <v>94</v>
      </c>
      <c r="B62" s="102"/>
      <c r="C62" s="103"/>
      <c r="D62" s="28">
        <v>40</v>
      </c>
      <c r="E62" s="48">
        <v>407.25</v>
      </c>
      <c r="F62" s="43">
        <v>386.5</v>
      </c>
      <c r="G62" s="43">
        <v>11.5</v>
      </c>
      <c r="H62" s="43">
        <v>10.75</v>
      </c>
      <c r="I62" s="47">
        <v>258</v>
      </c>
      <c r="J62" s="47">
        <v>7</v>
      </c>
      <c r="K62" s="150">
        <f t="shared" si="0"/>
        <v>1.498062015503876</v>
      </c>
      <c r="L62" s="157">
        <f t="shared" si="1"/>
        <v>13.851228978007782</v>
      </c>
      <c r="M62" s="164">
        <f t="shared" si="2"/>
        <v>20.75</v>
      </c>
    </row>
    <row r="63" spans="1:13" x14ac:dyDescent="0.25">
      <c r="A63" s="101" t="s">
        <v>95</v>
      </c>
      <c r="B63" s="102"/>
      <c r="C63" s="103"/>
      <c r="D63" s="28">
        <v>41</v>
      </c>
      <c r="E63" s="48">
        <v>90.25</v>
      </c>
      <c r="F63" s="43">
        <v>80.25</v>
      </c>
      <c r="G63" s="43">
        <v>6</v>
      </c>
      <c r="H63" s="43">
        <v>4.75</v>
      </c>
      <c r="I63" s="47">
        <v>56</v>
      </c>
      <c r="J63" s="47">
        <v>3</v>
      </c>
      <c r="K63" s="150">
        <f t="shared" si="0"/>
        <v>1.4330357142857142</v>
      </c>
      <c r="L63" s="157">
        <f t="shared" si="1"/>
        <v>6.9781931464174463</v>
      </c>
      <c r="M63" s="164">
        <f t="shared" si="2"/>
        <v>10</v>
      </c>
    </row>
    <row r="64" spans="1:13" x14ac:dyDescent="0.25">
      <c r="A64" s="101" t="s">
        <v>96</v>
      </c>
      <c r="B64" s="102"/>
      <c r="C64" s="103"/>
      <c r="D64" s="28">
        <v>42</v>
      </c>
      <c r="E64" s="48">
        <v>3430</v>
      </c>
      <c r="F64" s="43">
        <v>3066.25</v>
      </c>
      <c r="G64" s="43">
        <v>21.75</v>
      </c>
      <c r="H64" s="43">
        <v>18.75</v>
      </c>
      <c r="I64" s="47">
        <v>1968</v>
      </c>
      <c r="J64" s="47">
        <v>12</v>
      </c>
      <c r="K64" s="150">
        <f t="shared" si="0"/>
        <v>1.5580538617886179</v>
      </c>
      <c r="L64" s="157">
        <f t="shared" si="1"/>
        <v>233.46432939258057</v>
      </c>
      <c r="M64" s="164">
        <f t="shared" si="2"/>
        <v>363.75</v>
      </c>
    </row>
    <row r="65" spans="1:13" x14ac:dyDescent="0.25">
      <c r="A65" s="101" t="s">
        <v>97</v>
      </c>
      <c r="B65" s="102"/>
      <c r="C65" s="103"/>
      <c r="D65" s="28">
        <v>43</v>
      </c>
      <c r="E65" s="48">
        <v>778.25</v>
      </c>
      <c r="F65" s="43">
        <v>683.25</v>
      </c>
      <c r="G65" s="43">
        <v>4.75</v>
      </c>
      <c r="H65" s="43">
        <v>3</v>
      </c>
      <c r="I65" s="47">
        <v>412</v>
      </c>
      <c r="J65" s="47">
        <v>0</v>
      </c>
      <c r="K65" s="150">
        <f t="shared" si="0"/>
        <v>1.658373786407767</v>
      </c>
      <c r="L65" s="157">
        <f t="shared" si="1"/>
        <v>57.2850347603366</v>
      </c>
      <c r="M65" s="164">
        <f t="shared" si="2"/>
        <v>95</v>
      </c>
    </row>
    <row r="66" spans="1:13" x14ac:dyDescent="0.25">
      <c r="A66" s="101" t="s">
        <v>98</v>
      </c>
      <c r="B66" s="102"/>
      <c r="C66" s="103"/>
      <c r="D66" s="28">
        <v>44</v>
      </c>
      <c r="E66" s="48">
        <v>7.5</v>
      </c>
      <c r="F66" s="43">
        <v>7.5</v>
      </c>
      <c r="G66" s="43">
        <v>0</v>
      </c>
      <c r="H66" s="43">
        <v>0</v>
      </c>
      <c r="I66" s="47">
        <v>6</v>
      </c>
      <c r="J66" s="47">
        <v>0</v>
      </c>
      <c r="K66" s="150">
        <f t="shared" si="0"/>
        <v>1.25</v>
      </c>
      <c r="L66" s="157"/>
      <c r="M66" s="164"/>
    </row>
    <row r="67" spans="1:13" x14ac:dyDescent="0.25">
      <c r="A67" s="101" t="s">
        <v>99</v>
      </c>
      <c r="B67" s="102"/>
      <c r="C67" s="103"/>
      <c r="D67" s="28">
        <v>45</v>
      </c>
      <c r="E67" s="48">
        <v>507</v>
      </c>
      <c r="F67" s="43">
        <v>451.5</v>
      </c>
      <c r="G67" s="43">
        <v>244</v>
      </c>
      <c r="H67" s="43">
        <v>212.25</v>
      </c>
      <c r="I67" s="47">
        <v>282</v>
      </c>
      <c r="J67" s="47">
        <v>123</v>
      </c>
      <c r="K67" s="150">
        <f t="shared" si="0"/>
        <v>1.6010638297872339</v>
      </c>
      <c r="L67" s="157">
        <f t="shared" si="1"/>
        <v>34.664451827242544</v>
      </c>
      <c r="M67" s="164">
        <f t="shared" si="2"/>
        <v>55.5</v>
      </c>
    </row>
    <row r="68" spans="1:13" x14ac:dyDescent="0.25">
      <c r="A68" s="101" t="s">
        <v>100</v>
      </c>
      <c r="B68" s="102"/>
      <c r="C68" s="103"/>
      <c r="D68" s="28">
        <v>46</v>
      </c>
      <c r="E68" s="48">
        <v>30.5</v>
      </c>
      <c r="F68" s="43">
        <v>26.25</v>
      </c>
      <c r="G68" s="43">
        <v>3.5</v>
      </c>
      <c r="H68" s="43">
        <v>3.25</v>
      </c>
      <c r="I68" s="47">
        <v>14</v>
      </c>
      <c r="J68" s="47">
        <v>1</v>
      </c>
      <c r="K68" s="150">
        <f t="shared" si="0"/>
        <v>1.875</v>
      </c>
      <c r="L68" s="157">
        <f t="shared" si="1"/>
        <v>2.2666666666666657</v>
      </c>
      <c r="M68" s="164">
        <f t="shared" si="2"/>
        <v>4.25</v>
      </c>
    </row>
    <row r="69" spans="1:13" x14ac:dyDescent="0.25">
      <c r="A69" s="101" t="s">
        <v>101</v>
      </c>
      <c r="B69" s="102"/>
      <c r="C69" s="103"/>
      <c r="D69" s="28">
        <v>47</v>
      </c>
      <c r="E69" s="48">
        <v>1272.75</v>
      </c>
      <c r="F69" s="43">
        <v>1129</v>
      </c>
      <c r="G69" s="43">
        <v>799.5</v>
      </c>
      <c r="H69" s="43">
        <v>702</v>
      </c>
      <c r="I69" s="47">
        <v>775</v>
      </c>
      <c r="J69" s="47">
        <v>481</v>
      </c>
      <c r="K69" s="150">
        <f t="shared" si="0"/>
        <v>1.4567741935483871</v>
      </c>
      <c r="L69" s="157">
        <f t="shared" si="1"/>
        <v>98.676926483613784</v>
      </c>
      <c r="M69" s="164">
        <f t="shared" si="2"/>
        <v>143.75</v>
      </c>
    </row>
    <row r="70" spans="1:13" x14ac:dyDescent="0.25">
      <c r="A70" s="101" t="s">
        <v>102</v>
      </c>
      <c r="B70" s="102"/>
      <c r="C70" s="103"/>
      <c r="D70" s="28" t="s">
        <v>103</v>
      </c>
      <c r="E70" s="43">
        <v>265.75</v>
      </c>
      <c r="F70" s="43">
        <v>229.5</v>
      </c>
      <c r="G70" s="43">
        <v>242.5</v>
      </c>
      <c r="H70" s="43">
        <v>209</v>
      </c>
      <c r="I70" s="47">
        <v>145</v>
      </c>
      <c r="J70" s="47">
        <v>129</v>
      </c>
      <c r="K70" s="150">
        <f t="shared" ref="K70:K133" si="3">F70/I70</f>
        <v>1.5827586206896551</v>
      </c>
      <c r="L70" s="157">
        <f t="shared" ref="L70:L133" si="4">E70/K70-I70</f>
        <v>22.903050108932462</v>
      </c>
      <c r="M70" s="164">
        <f t="shared" ref="M70:M133" si="5">E70-F70</f>
        <v>36.25</v>
      </c>
    </row>
    <row r="71" spans="1:13" x14ac:dyDescent="0.25">
      <c r="A71" s="101" t="s">
        <v>104</v>
      </c>
      <c r="B71" s="102"/>
      <c r="C71" s="103"/>
      <c r="D71" s="34">
        <v>48</v>
      </c>
      <c r="E71" s="48">
        <v>35.5</v>
      </c>
      <c r="F71" s="43">
        <v>32.75</v>
      </c>
      <c r="G71" s="43">
        <v>5</v>
      </c>
      <c r="H71" s="43">
        <v>5</v>
      </c>
      <c r="I71" s="47">
        <v>35</v>
      </c>
      <c r="J71" s="47">
        <v>3</v>
      </c>
      <c r="K71" s="150">
        <f t="shared" si="3"/>
        <v>0.93571428571428572</v>
      </c>
      <c r="L71" s="157">
        <f t="shared" si="4"/>
        <v>2.9389312977099209</v>
      </c>
      <c r="M71" s="164">
        <f t="shared" si="5"/>
        <v>2.75</v>
      </c>
    </row>
    <row r="72" spans="1:13" x14ac:dyDescent="0.25">
      <c r="A72" s="101" t="s">
        <v>105</v>
      </c>
      <c r="B72" s="102"/>
      <c r="C72" s="103"/>
      <c r="D72" s="28">
        <v>49</v>
      </c>
      <c r="E72" s="48">
        <v>146.5</v>
      </c>
      <c r="F72" s="43">
        <v>133.75</v>
      </c>
      <c r="G72" s="43">
        <v>3.5</v>
      </c>
      <c r="H72" s="43">
        <v>3</v>
      </c>
      <c r="I72" s="47">
        <v>97</v>
      </c>
      <c r="J72" s="47">
        <v>1</v>
      </c>
      <c r="K72" s="150">
        <f t="shared" si="3"/>
        <v>1.3788659793814433</v>
      </c>
      <c r="L72" s="157">
        <f t="shared" si="4"/>
        <v>9.2467289719626109</v>
      </c>
      <c r="M72" s="164">
        <f t="shared" si="5"/>
        <v>12.75</v>
      </c>
    </row>
    <row r="73" spans="1:13" x14ac:dyDescent="0.25">
      <c r="A73" s="105" t="s">
        <v>106</v>
      </c>
      <c r="B73" s="106"/>
      <c r="C73" s="107"/>
      <c r="D73" s="31">
        <v>50</v>
      </c>
      <c r="E73" s="48">
        <v>842.25</v>
      </c>
      <c r="F73" s="43">
        <v>771.5</v>
      </c>
      <c r="G73" s="43">
        <v>792.25</v>
      </c>
      <c r="H73" s="43">
        <v>727</v>
      </c>
      <c r="I73" s="47">
        <v>697</v>
      </c>
      <c r="J73" s="47">
        <v>664</v>
      </c>
      <c r="K73" s="150">
        <f t="shared" si="3"/>
        <v>1.1068866571018652</v>
      </c>
      <c r="L73" s="157">
        <f t="shared" si="4"/>
        <v>63.918016850291565</v>
      </c>
      <c r="M73" s="164">
        <f t="shared" si="5"/>
        <v>70.75</v>
      </c>
    </row>
    <row r="74" spans="1:13" x14ac:dyDescent="0.25">
      <c r="A74" s="105" t="s">
        <v>107</v>
      </c>
      <c r="B74" s="106"/>
      <c r="C74" s="107"/>
      <c r="D74" s="28">
        <v>51</v>
      </c>
      <c r="E74" s="48">
        <v>467.25</v>
      </c>
      <c r="F74" s="43">
        <v>425</v>
      </c>
      <c r="G74" s="43">
        <v>454.75</v>
      </c>
      <c r="H74" s="43">
        <v>413.5</v>
      </c>
      <c r="I74" s="47">
        <v>356</v>
      </c>
      <c r="J74" s="47">
        <v>349</v>
      </c>
      <c r="K74" s="150">
        <f t="shared" si="3"/>
        <v>1.1938202247191012</v>
      </c>
      <c r="L74" s="157">
        <f t="shared" si="4"/>
        <v>35.390588235294103</v>
      </c>
      <c r="M74" s="164">
        <f t="shared" si="5"/>
        <v>42.25</v>
      </c>
    </row>
    <row r="75" spans="1:13" x14ac:dyDescent="0.25">
      <c r="A75" s="101" t="s">
        <v>108</v>
      </c>
      <c r="B75" s="102"/>
      <c r="C75" s="103"/>
      <c r="D75" s="28">
        <v>52</v>
      </c>
      <c r="E75" s="48">
        <v>131.5</v>
      </c>
      <c r="F75" s="43">
        <v>127.25</v>
      </c>
      <c r="G75" s="43">
        <v>5.75</v>
      </c>
      <c r="H75" s="43">
        <v>5</v>
      </c>
      <c r="I75" s="47">
        <v>93</v>
      </c>
      <c r="J75" s="47">
        <v>4</v>
      </c>
      <c r="K75" s="150">
        <f t="shared" si="3"/>
        <v>1.368279569892473</v>
      </c>
      <c r="L75" s="157">
        <f t="shared" si="4"/>
        <v>3.1060903732809493</v>
      </c>
      <c r="M75" s="164">
        <f t="shared" si="5"/>
        <v>4.25</v>
      </c>
    </row>
    <row r="76" spans="1:13" x14ac:dyDescent="0.25">
      <c r="A76" s="101" t="s">
        <v>109</v>
      </c>
      <c r="B76" s="102"/>
      <c r="C76" s="103"/>
      <c r="D76" s="28">
        <v>53</v>
      </c>
      <c r="E76" s="48">
        <v>46.75</v>
      </c>
      <c r="F76" s="43">
        <v>44.25</v>
      </c>
      <c r="G76" s="43">
        <v>4.75</v>
      </c>
      <c r="H76" s="43">
        <v>4.5</v>
      </c>
      <c r="I76" s="47">
        <v>34</v>
      </c>
      <c r="J76" s="47">
        <v>3</v>
      </c>
      <c r="K76" s="150">
        <f t="shared" si="3"/>
        <v>1.3014705882352942</v>
      </c>
      <c r="L76" s="157">
        <f t="shared" si="4"/>
        <v>1.920903954802256</v>
      </c>
      <c r="M76" s="164">
        <f t="shared" si="5"/>
        <v>2.5</v>
      </c>
    </row>
    <row r="77" spans="1:13" x14ac:dyDescent="0.25">
      <c r="A77" s="101" t="s">
        <v>110</v>
      </c>
      <c r="B77" s="102"/>
      <c r="C77" s="103"/>
      <c r="D77" s="28">
        <v>54</v>
      </c>
      <c r="E77" s="48">
        <v>282.75</v>
      </c>
      <c r="F77" s="43">
        <v>238.25</v>
      </c>
      <c r="G77" s="43">
        <v>7.75</v>
      </c>
      <c r="H77" s="43">
        <v>5.25</v>
      </c>
      <c r="I77" s="47">
        <v>114</v>
      </c>
      <c r="J77" s="47">
        <v>2</v>
      </c>
      <c r="K77" s="150">
        <f t="shared" si="3"/>
        <v>2.0899122807017543</v>
      </c>
      <c r="L77" s="157">
        <f t="shared" si="4"/>
        <v>21.292759706190992</v>
      </c>
      <c r="M77" s="164">
        <f t="shared" si="5"/>
        <v>44.5</v>
      </c>
    </row>
    <row r="78" spans="1:13" x14ac:dyDescent="0.25">
      <c r="A78" s="101" t="s">
        <v>111</v>
      </c>
      <c r="B78" s="102"/>
      <c r="C78" s="103"/>
      <c r="D78" s="28">
        <v>55</v>
      </c>
      <c r="E78" s="48">
        <v>63.5</v>
      </c>
      <c r="F78" s="43">
        <v>49</v>
      </c>
      <c r="G78" s="43">
        <v>0</v>
      </c>
      <c r="H78" s="43">
        <v>0</v>
      </c>
      <c r="I78" s="47">
        <v>35</v>
      </c>
      <c r="J78" s="47">
        <v>0</v>
      </c>
      <c r="K78" s="150">
        <f t="shared" si="3"/>
        <v>1.4</v>
      </c>
      <c r="L78" s="157">
        <f t="shared" si="4"/>
        <v>10.357142857142861</v>
      </c>
      <c r="M78" s="164">
        <f t="shared" si="5"/>
        <v>14.5</v>
      </c>
    </row>
    <row r="79" spans="1:13" x14ac:dyDescent="0.25">
      <c r="A79" s="101" t="s">
        <v>112</v>
      </c>
      <c r="B79" s="102"/>
      <c r="C79" s="103"/>
      <c r="D79" s="28">
        <v>56</v>
      </c>
      <c r="E79" s="48">
        <v>4670.5</v>
      </c>
      <c r="F79" s="43">
        <v>4298.5</v>
      </c>
      <c r="G79" s="43">
        <v>2057.5</v>
      </c>
      <c r="H79" s="43">
        <v>1875.75</v>
      </c>
      <c r="I79" s="47">
        <v>3157</v>
      </c>
      <c r="J79" s="47">
        <v>1504</v>
      </c>
      <c r="K79" s="150">
        <f t="shared" si="3"/>
        <v>1.3615774469433006</v>
      </c>
      <c r="L79" s="157">
        <f t="shared" si="4"/>
        <v>273.21251599395146</v>
      </c>
      <c r="M79" s="164">
        <f t="shared" si="5"/>
        <v>372</v>
      </c>
    </row>
    <row r="80" spans="1:13" x14ac:dyDescent="0.25">
      <c r="A80" s="101" t="s">
        <v>113</v>
      </c>
      <c r="B80" s="102"/>
      <c r="C80" s="103"/>
      <c r="D80" s="28" t="s">
        <v>114</v>
      </c>
      <c r="E80" s="43">
        <v>22</v>
      </c>
      <c r="F80" s="43">
        <v>17.5</v>
      </c>
      <c r="G80" s="43">
        <v>18</v>
      </c>
      <c r="H80" s="43">
        <v>15.75</v>
      </c>
      <c r="I80" s="47">
        <v>7</v>
      </c>
      <c r="J80" s="47">
        <v>7</v>
      </c>
      <c r="K80" s="150">
        <f t="shared" si="3"/>
        <v>2.5</v>
      </c>
      <c r="L80" s="157">
        <f t="shared" si="4"/>
        <v>1.8000000000000007</v>
      </c>
      <c r="M80" s="164">
        <f t="shared" si="5"/>
        <v>4.5</v>
      </c>
    </row>
    <row r="81" spans="1:13" x14ac:dyDescent="0.25">
      <c r="A81" s="101" t="s">
        <v>115</v>
      </c>
      <c r="B81" s="102"/>
      <c r="C81" s="103"/>
      <c r="D81" s="28">
        <v>57</v>
      </c>
      <c r="E81" s="48">
        <v>3309.5</v>
      </c>
      <c r="F81" s="43">
        <v>3055.75</v>
      </c>
      <c r="G81" s="43">
        <v>2261</v>
      </c>
      <c r="H81" s="43">
        <v>2110.75</v>
      </c>
      <c r="I81" s="47">
        <v>2323</v>
      </c>
      <c r="J81" s="47">
        <v>1710</v>
      </c>
      <c r="K81" s="150">
        <f t="shared" si="3"/>
        <v>1.3154326302195436</v>
      </c>
      <c r="L81" s="157">
        <f t="shared" si="4"/>
        <v>192.90231530720803</v>
      </c>
      <c r="M81" s="164">
        <f t="shared" si="5"/>
        <v>253.75</v>
      </c>
    </row>
    <row r="82" spans="1:13" x14ac:dyDescent="0.25">
      <c r="A82" s="101" t="s">
        <v>116</v>
      </c>
      <c r="B82" s="102"/>
      <c r="C82" s="103"/>
      <c r="D82" s="28" t="s">
        <v>117</v>
      </c>
      <c r="E82" s="43">
        <v>1485.25</v>
      </c>
      <c r="F82" s="43">
        <v>1405.25</v>
      </c>
      <c r="G82" s="43">
        <v>1485</v>
      </c>
      <c r="H82" s="43">
        <v>1405</v>
      </c>
      <c r="I82" s="47">
        <v>1186</v>
      </c>
      <c r="J82" s="47">
        <v>1186</v>
      </c>
      <c r="K82" s="150">
        <f t="shared" si="3"/>
        <v>1.1848650927487352</v>
      </c>
      <c r="L82" s="157">
        <f t="shared" si="4"/>
        <v>67.518235189468214</v>
      </c>
      <c r="M82" s="164">
        <f t="shared" si="5"/>
        <v>80</v>
      </c>
    </row>
    <row r="83" spans="1:13" x14ac:dyDescent="0.25">
      <c r="A83" s="101" t="s">
        <v>118</v>
      </c>
      <c r="B83" s="102"/>
      <c r="C83" s="103"/>
      <c r="D83" s="28">
        <v>58</v>
      </c>
      <c r="E83" s="48">
        <v>1324.5</v>
      </c>
      <c r="F83" s="43">
        <v>1215.5</v>
      </c>
      <c r="G83" s="43">
        <v>11.25</v>
      </c>
      <c r="H83" s="43">
        <v>9.75</v>
      </c>
      <c r="I83" s="47">
        <v>799</v>
      </c>
      <c r="J83" s="47">
        <v>6</v>
      </c>
      <c r="K83" s="150">
        <f t="shared" si="3"/>
        <v>1.5212765957446808</v>
      </c>
      <c r="L83" s="157">
        <f t="shared" si="4"/>
        <v>71.650349650349654</v>
      </c>
      <c r="M83" s="164">
        <f t="shared" si="5"/>
        <v>109</v>
      </c>
    </row>
    <row r="84" spans="1:13" x14ac:dyDescent="0.25">
      <c r="A84" s="101" t="s">
        <v>119</v>
      </c>
      <c r="B84" s="102"/>
      <c r="C84" s="103"/>
      <c r="D84" s="28">
        <v>59</v>
      </c>
      <c r="E84" s="48">
        <v>798.75</v>
      </c>
      <c r="F84" s="43">
        <v>715.5</v>
      </c>
      <c r="G84" s="43">
        <v>587</v>
      </c>
      <c r="H84" s="43">
        <v>518.75</v>
      </c>
      <c r="I84" s="47">
        <v>524</v>
      </c>
      <c r="J84" s="47">
        <v>385</v>
      </c>
      <c r="K84" s="150">
        <f t="shared" si="3"/>
        <v>1.3654580152671756</v>
      </c>
      <c r="L84" s="157">
        <f t="shared" si="4"/>
        <v>60.968553459119448</v>
      </c>
      <c r="M84" s="164">
        <f t="shared" si="5"/>
        <v>83.25</v>
      </c>
    </row>
    <row r="85" spans="1:13" x14ac:dyDescent="0.25">
      <c r="A85" s="101" t="s">
        <v>120</v>
      </c>
      <c r="B85" s="102"/>
      <c r="C85" s="103"/>
      <c r="D85" s="28">
        <v>60</v>
      </c>
      <c r="E85" s="48">
        <v>222.75</v>
      </c>
      <c r="F85" s="43">
        <v>198.5</v>
      </c>
      <c r="G85" s="43">
        <v>154.75</v>
      </c>
      <c r="H85" s="43">
        <v>137</v>
      </c>
      <c r="I85" s="47">
        <v>113</v>
      </c>
      <c r="J85" s="47">
        <v>85</v>
      </c>
      <c r="K85" s="150">
        <f t="shared" si="3"/>
        <v>1.7566371681415929</v>
      </c>
      <c r="L85" s="157">
        <f t="shared" si="4"/>
        <v>13.804785894206546</v>
      </c>
      <c r="M85" s="164">
        <f t="shared" si="5"/>
        <v>24.25</v>
      </c>
    </row>
    <row r="86" spans="1:13" x14ac:dyDescent="0.25">
      <c r="A86" s="101" t="s">
        <v>121</v>
      </c>
      <c r="B86" s="102"/>
      <c r="C86" s="103"/>
      <c r="D86" s="28">
        <v>61</v>
      </c>
      <c r="E86" s="48">
        <v>704.5</v>
      </c>
      <c r="F86" s="43">
        <v>631.25</v>
      </c>
      <c r="G86" s="43">
        <v>525.5</v>
      </c>
      <c r="H86" s="43">
        <v>464.75</v>
      </c>
      <c r="I86" s="47">
        <v>474</v>
      </c>
      <c r="J86" s="47">
        <v>359</v>
      </c>
      <c r="K86" s="150">
        <f t="shared" si="3"/>
        <v>1.3317510548523206</v>
      </c>
      <c r="L86" s="157">
        <f t="shared" si="4"/>
        <v>55.002772277227791</v>
      </c>
      <c r="M86" s="164">
        <f t="shared" si="5"/>
        <v>73.25</v>
      </c>
    </row>
    <row r="87" spans="1:13" x14ac:dyDescent="0.25">
      <c r="A87" s="101" t="s">
        <v>122</v>
      </c>
      <c r="B87" s="102"/>
      <c r="C87" s="103"/>
      <c r="D87" s="28">
        <v>62</v>
      </c>
      <c r="E87" s="48">
        <v>283</v>
      </c>
      <c r="F87" s="43">
        <v>256</v>
      </c>
      <c r="G87" s="43">
        <v>173.25</v>
      </c>
      <c r="H87" s="43">
        <v>156</v>
      </c>
      <c r="I87" s="47">
        <v>173</v>
      </c>
      <c r="J87" s="47">
        <v>107</v>
      </c>
      <c r="K87" s="150">
        <f t="shared" si="3"/>
        <v>1.4797687861271676</v>
      </c>
      <c r="L87" s="157">
        <f t="shared" si="4"/>
        <v>18.24609375</v>
      </c>
      <c r="M87" s="164">
        <f t="shared" si="5"/>
        <v>27</v>
      </c>
    </row>
    <row r="88" spans="1:13" x14ac:dyDescent="0.25">
      <c r="A88" s="101" t="s">
        <v>123</v>
      </c>
      <c r="B88" s="102"/>
      <c r="C88" s="103"/>
      <c r="D88" s="28" t="s">
        <v>124</v>
      </c>
      <c r="E88" s="43">
        <v>36.75</v>
      </c>
      <c r="F88" s="43">
        <v>33.75</v>
      </c>
      <c r="G88" s="43">
        <v>28.75</v>
      </c>
      <c r="H88" s="43">
        <v>25.75</v>
      </c>
      <c r="I88" s="47">
        <v>24</v>
      </c>
      <c r="J88" s="47">
        <v>19</v>
      </c>
      <c r="K88" s="150">
        <f t="shared" si="3"/>
        <v>1.40625</v>
      </c>
      <c r="L88" s="157">
        <f t="shared" si="4"/>
        <v>2.1333333333333329</v>
      </c>
      <c r="M88" s="164">
        <f t="shared" si="5"/>
        <v>3</v>
      </c>
    </row>
    <row r="89" spans="1:13" x14ac:dyDescent="0.25">
      <c r="A89" s="101" t="s">
        <v>125</v>
      </c>
      <c r="B89" s="102"/>
      <c r="C89" s="103"/>
      <c r="D89" s="28">
        <v>63</v>
      </c>
      <c r="E89" s="48">
        <v>976</v>
      </c>
      <c r="F89" s="43">
        <v>884</v>
      </c>
      <c r="G89" s="43">
        <v>542.25</v>
      </c>
      <c r="H89" s="43">
        <v>496.5</v>
      </c>
      <c r="I89" s="47">
        <v>654</v>
      </c>
      <c r="J89" s="47">
        <v>390</v>
      </c>
      <c r="K89" s="150">
        <f t="shared" si="3"/>
        <v>1.3516819571865444</v>
      </c>
      <c r="L89" s="157">
        <f t="shared" si="4"/>
        <v>68.063348416289614</v>
      </c>
      <c r="M89" s="164">
        <f t="shared" si="5"/>
        <v>92</v>
      </c>
    </row>
    <row r="90" spans="1:13" x14ac:dyDescent="0.25">
      <c r="A90" s="101" t="s">
        <v>126</v>
      </c>
      <c r="B90" s="102"/>
      <c r="C90" s="103"/>
      <c r="D90" s="28">
        <v>64</v>
      </c>
      <c r="E90" s="48">
        <v>289.25</v>
      </c>
      <c r="F90" s="43">
        <v>267.5</v>
      </c>
      <c r="G90" s="43">
        <v>239.75</v>
      </c>
      <c r="H90" s="43">
        <v>223.75</v>
      </c>
      <c r="I90" s="47">
        <v>201</v>
      </c>
      <c r="J90" s="47">
        <v>168</v>
      </c>
      <c r="K90" s="150">
        <f t="shared" si="3"/>
        <v>1.3308457711442787</v>
      </c>
      <c r="L90" s="157">
        <f t="shared" si="4"/>
        <v>16.342990654205579</v>
      </c>
      <c r="M90" s="164">
        <f t="shared" si="5"/>
        <v>21.75</v>
      </c>
    </row>
    <row r="91" spans="1:13" x14ac:dyDescent="0.25">
      <c r="A91" s="101" t="s">
        <v>127</v>
      </c>
      <c r="B91" s="102"/>
      <c r="C91" s="103"/>
      <c r="D91" s="28">
        <v>65</v>
      </c>
      <c r="E91" s="48">
        <v>1557</v>
      </c>
      <c r="F91" s="43">
        <v>1406.75</v>
      </c>
      <c r="G91" s="43">
        <v>674</v>
      </c>
      <c r="H91" s="43">
        <v>613.25</v>
      </c>
      <c r="I91" s="47">
        <v>1012</v>
      </c>
      <c r="J91" s="47">
        <v>484</v>
      </c>
      <c r="K91" s="150">
        <f t="shared" si="3"/>
        <v>1.3900691699604744</v>
      </c>
      <c r="L91" s="157">
        <f t="shared" si="4"/>
        <v>108.0881464368224</v>
      </c>
      <c r="M91" s="164">
        <f t="shared" si="5"/>
        <v>150.25</v>
      </c>
    </row>
    <row r="92" spans="1:13" x14ac:dyDescent="0.25">
      <c r="A92" s="101" t="s">
        <v>128</v>
      </c>
      <c r="B92" s="102"/>
      <c r="C92" s="103"/>
      <c r="D92" s="28">
        <v>66</v>
      </c>
      <c r="E92" s="48">
        <v>538.75</v>
      </c>
      <c r="F92" s="43">
        <v>475</v>
      </c>
      <c r="G92" s="43">
        <v>279</v>
      </c>
      <c r="H92" s="43">
        <v>256.5</v>
      </c>
      <c r="I92" s="47">
        <v>358</v>
      </c>
      <c r="J92" s="47">
        <v>191</v>
      </c>
      <c r="K92" s="150">
        <f t="shared" si="3"/>
        <v>1.3268156424581006</v>
      </c>
      <c r="L92" s="157">
        <f t="shared" si="4"/>
        <v>48.047368421052624</v>
      </c>
      <c r="M92" s="164">
        <f t="shared" si="5"/>
        <v>63.75</v>
      </c>
    </row>
    <row r="93" spans="1:13" x14ac:dyDescent="0.25">
      <c r="A93" s="101" t="s">
        <v>129</v>
      </c>
      <c r="B93" s="102"/>
      <c r="C93" s="103"/>
      <c r="D93" s="28">
        <v>67</v>
      </c>
      <c r="E93" s="48">
        <v>1980.5</v>
      </c>
      <c r="F93" s="43">
        <v>1706.5</v>
      </c>
      <c r="G93" s="43">
        <v>794</v>
      </c>
      <c r="H93" s="43">
        <v>712.75</v>
      </c>
      <c r="I93" s="47">
        <v>1144</v>
      </c>
      <c r="J93" s="47">
        <v>526</v>
      </c>
      <c r="K93" s="150">
        <f t="shared" si="3"/>
        <v>1.4916958041958042</v>
      </c>
      <c r="L93" s="157">
        <f t="shared" si="4"/>
        <v>183.68356284793435</v>
      </c>
      <c r="M93" s="164">
        <f t="shared" si="5"/>
        <v>274</v>
      </c>
    </row>
    <row r="94" spans="1:13" x14ac:dyDescent="0.25">
      <c r="A94" s="101" t="s">
        <v>130</v>
      </c>
      <c r="B94" s="102"/>
      <c r="C94" s="103"/>
      <c r="D94" s="28" t="s">
        <v>131</v>
      </c>
      <c r="E94" s="43">
        <v>801.75</v>
      </c>
      <c r="F94" s="43">
        <v>673.75</v>
      </c>
      <c r="G94" s="43">
        <v>293.25</v>
      </c>
      <c r="H94" s="43">
        <v>263.25</v>
      </c>
      <c r="I94" s="47">
        <v>427</v>
      </c>
      <c r="J94" s="47">
        <v>186</v>
      </c>
      <c r="K94" s="150">
        <f t="shared" si="3"/>
        <v>1.5778688524590163</v>
      </c>
      <c r="L94" s="157">
        <f t="shared" si="4"/>
        <v>81.122077922077949</v>
      </c>
      <c r="M94" s="164">
        <f t="shared" si="5"/>
        <v>128</v>
      </c>
    </row>
    <row r="95" spans="1:13" x14ac:dyDescent="0.25">
      <c r="A95" s="101" t="s">
        <v>132</v>
      </c>
      <c r="B95" s="102"/>
      <c r="C95" s="103"/>
      <c r="D95" s="28" t="s">
        <v>133</v>
      </c>
      <c r="E95" s="43">
        <v>120.25</v>
      </c>
      <c r="F95" s="43">
        <v>91.5</v>
      </c>
      <c r="G95" s="43">
        <v>42</v>
      </c>
      <c r="H95" s="43">
        <v>34.5</v>
      </c>
      <c r="I95" s="47">
        <v>52</v>
      </c>
      <c r="J95" s="47">
        <v>20</v>
      </c>
      <c r="K95" s="150">
        <f t="shared" si="3"/>
        <v>1.7596153846153846</v>
      </c>
      <c r="L95" s="157">
        <f t="shared" si="4"/>
        <v>16.338797814207652</v>
      </c>
      <c r="M95" s="164">
        <f t="shared" si="5"/>
        <v>28.75</v>
      </c>
    </row>
    <row r="96" spans="1:13" x14ac:dyDescent="0.25">
      <c r="A96" s="101" t="s">
        <v>134</v>
      </c>
      <c r="B96" s="102"/>
      <c r="C96" s="103"/>
      <c r="D96" s="28" t="s">
        <v>135</v>
      </c>
      <c r="E96" s="43">
        <v>0</v>
      </c>
      <c r="F96" s="43">
        <v>0</v>
      </c>
      <c r="G96" s="43">
        <v>0</v>
      </c>
      <c r="H96" s="43">
        <v>0</v>
      </c>
      <c r="I96" s="47">
        <v>0</v>
      </c>
      <c r="J96" s="47">
        <v>0</v>
      </c>
      <c r="K96" s="150"/>
      <c r="L96" s="157"/>
      <c r="M96" s="164"/>
    </row>
    <row r="97" spans="1:13" x14ac:dyDescent="0.25">
      <c r="A97" s="101" t="s">
        <v>136</v>
      </c>
      <c r="B97" s="102"/>
      <c r="C97" s="103"/>
      <c r="D97" s="28" t="s">
        <v>137</v>
      </c>
      <c r="E97" s="43">
        <v>16.75</v>
      </c>
      <c r="F97" s="43">
        <v>15</v>
      </c>
      <c r="G97" s="43">
        <v>12</v>
      </c>
      <c r="H97" s="43">
        <v>10.75</v>
      </c>
      <c r="I97" s="47">
        <v>13</v>
      </c>
      <c r="J97" s="47">
        <v>10</v>
      </c>
      <c r="K97" s="150">
        <f t="shared" si="3"/>
        <v>1.1538461538461537</v>
      </c>
      <c r="L97" s="157">
        <f t="shared" si="4"/>
        <v>1.5166666666666675</v>
      </c>
      <c r="M97" s="164">
        <f t="shared" si="5"/>
        <v>1.75</v>
      </c>
    </row>
    <row r="98" spans="1:13" x14ac:dyDescent="0.25">
      <c r="A98" s="101" t="s">
        <v>138</v>
      </c>
      <c r="B98" s="102"/>
      <c r="C98" s="103"/>
      <c r="D98" s="28" t="s">
        <v>139</v>
      </c>
      <c r="E98" s="43">
        <v>1</v>
      </c>
      <c r="F98" s="43">
        <v>1</v>
      </c>
      <c r="G98" s="43">
        <v>0</v>
      </c>
      <c r="H98" s="43">
        <v>0</v>
      </c>
      <c r="I98" s="47">
        <v>1</v>
      </c>
      <c r="J98" s="47">
        <v>0</v>
      </c>
      <c r="K98" s="150">
        <f t="shared" si="3"/>
        <v>1</v>
      </c>
      <c r="L98" s="157"/>
      <c r="M98" s="164"/>
    </row>
    <row r="99" spans="1:13" x14ac:dyDescent="0.25">
      <c r="A99" s="101" t="s">
        <v>140</v>
      </c>
      <c r="B99" s="102"/>
      <c r="C99" s="103"/>
      <c r="D99" s="28" t="s">
        <v>141</v>
      </c>
      <c r="E99" s="43">
        <v>11</v>
      </c>
      <c r="F99" s="43">
        <v>11</v>
      </c>
      <c r="G99" s="43">
        <v>0</v>
      </c>
      <c r="H99" s="43">
        <v>0</v>
      </c>
      <c r="I99" s="47">
        <v>11</v>
      </c>
      <c r="J99" s="47">
        <v>0</v>
      </c>
      <c r="K99" s="150">
        <f t="shared" si="3"/>
        <v>1</v>
      </c>
      <c r="L99" s="157"/>
      <c r="M99" s="164"/>
    </row>
    <row r="100" spans="1:13" x14ac:dyDescent="0.25">
      <c r="A100" s="101" t="s">
        <v>142</v>
      </c>
      <c r="B100" s="102"/>
      <c r="C100" s="103"/>
      <c r="D100" s="28" t="s">
        <v>143</v>
      </c>
      <c r="E100" s="43">
        <v>1026.25</v>
      </c>
      <c r="F100" s="43">
        <v>907.75</v>
      </c>
      <c r="G100" s="43">
        <v>443.75</v>
      </c>
      <c r="H100" s="43">
        <v>399.5</v>
      </c>
      <c r="I100" s="47">
        <v>636</v>
      </c>
      <c r="J100" s="47">
        <v>287</v>
      </c>
      <c r="K100" s="150">
        <f t="shared" si="3"/>
        <v>1.4272798742138364</v>
      </c>
      <c r="L100" s="157">
        <f t="shared" si="4"/>
        <v>83.025061966400472</v>
      </c>
      <c r="M100" s="164">
        <f t="shared" si="5"/>
        <v>118.5</v>
      </c>
    </row>
    <row r="101" spans="1:13" x14ac:dyDescent="0.25">
      <c r="A101" s="101" t="s">
        <v>144</v>
      </c>
      <c r="B101" s="102"/>
      <c r="C101" s="103"/>
      <c r="D101" s="28">
        <v>68</v>
      </c>
      <c r="E101" s="48">
        <v>150.25</v>
      </c>
      <c r="F101" s="43">
        <v>134.75</v>
      </c>
      <c r="G101" s="43">
        <v>78.5</v>
      </c>
      <c r="H101" s="43">
        <v>68.75</v>
      </c>
      <c r="I101" s="47">
        <v>84</v>
      </c>
      <c r="J101" s="47">
        <v>41</v>
      </c>
      <c r="K101" s="150">
        <f t="shared" si="3"/>
        <v>1.6041666666666667</v>
      </c>
      <c r="L101" s="157">
        <f t="shared" si="4"/>
        <v>9.6623376623376629</v>
      </c>
      <c r="M101" s="164">
        <f t="shared" si="5"/>
        <v>15.5</v>
      </c>
    </row>
    <row r="102" spans="1:13" x14ac:dyDescent="0.25">
      <c r="A102" s="101" t="s">
        <v>145</v>
      </c>
      <c r="B102" s="102"/>
      <c r="C102" s="103"/>
      <c r="D102" s="28" t="s">
        <v>146</v>
      </c>
      <c r="E102" s="43">
        <v>9.5</v>
      </c>
      <c r="F102" s="43">
        <v>7.5</v>
      </c>
      <c r="G102" s="43">
        <v>1.5</v>
      </c>
      <c r="H102" s="43">
        <v>1</v>
      </c>
      <c r="I102" s="47">
        <v>2</v>
      </c>
      <c r="J102" s="47">
        <v>1</v>
      </c>
      <c r="K102" s="150">
        <f t="shared" si="3"/>
        <v>3.75</v>
      </c>
      <c r="L102" s="157">
        <f t="shared" si="4"/>
        <v>0.53333333333333321</v>
      </c>
      <c r="M102" s="164">
        <f t="shared" si="5"/>
        <v>2</v>
      </c>
    </row>
    <row r="103" spans="1:13" x14ac:dyDescent="0.25">
      <c r="A103" s="101" t="s">
        <v>147</v>
      </c>
      <c r="B103" s="102"/>
      <c r="C103" s="103"/>
      <c r="D103" s="28" t="s">
        <v>148</v>
      </c>
      <c r="E103" s="43">
        <v>1</v>
      </c>
      <c r="F103" s="43">
        <v>1</v>
      </c>
      <c r="G103" s="43">
        <v>0</v>
      </c>
      <c r="H103" s="43">
        <v>0</v>
      </c>
      <c r="I103" s="47">
        <v>1</v>
      </c>
      <c r="J103" s="47">
        <v>0</v>
      </c>
      <c r="K103" s="150">
        <f t="shared" si="3"/>
        <v>1</v>
      </c>
      <c r="L103" s="157"/>
      <c r="M103" s="164"/>
    </row>
    <row r="104" spans="1:13" x14ac:dyDescent="0.25">
      <c r="A104" s="101" t="s">
        <v>149</v>
      </c>
      <c r="B104" s="102"/>
      <c r="C104" s="103"/>
      <c r="D104" s="28" t="s">
        <v>150</v>
      </c>
      <c r="E104" s="43">
        <v>3.5</v>
      </c>
      <c r="F104" s="43">
        <v>2.5</v>
      </c>
      <c r="G104" s="43">
        <v>1.5</v>
      </c>
      <c r="H104" s="43">
        <v>0.5</v>
      </c>
      <c r="I104" s="47">
        <v>0</v>
      </c>
      <c r="J104" s="47">
        <v>0</v>
      </c>
      <c r="K104" s="150"/>
      <c r="L104" s="157"/>
      <c r="M104" s="164"/>
    </row>
    <row r="105" spans="1:13" x14ac:dyDescent="0.25">
      <c r="A105" s="101" t="s">
        <v>151</v>
      </c>
      <c r="B105" s="102"/>
      <c r="C105" s="103"/>
      <c r="D105" s="28" t="s">
        <v>152</v>
      </c>
      <c r="E105" s="43">
        <v>0</v>
      </c>
      <c r="F105" s="43">
        <v>0</v>
      </c>
      <c r="G105" s="43">
        <v>0</v>
      </c>
      <c r="H105" s="43">
        <v>0</v>
      </c>
      <c r="I105" s="47">
        <v>0</v>
      </c>
      <c r="J105" s="47">
        <v>0</v>
      </c>
      <c r="K105" s="150"/>
      <c r="L105" s="157"/>
      <c r="M105" s="164"/>
    </row>
    <row r="106" spans="1:13" x14ac:dyDescent="0.25">
      <c r="A106" s="101" t="s">
        <v>153</v>
      </c>
      <c r="B106" s="102"/>
      <c r="C106" s="103"/>
      <c r="D106" s="28" t="s">
        <v>154</v>
      </c>
      <c r="E106" s="43">
        <v>0</v>
      </c>
      <c r="F106" s="43">
        <v>0</v>
      </c>
      <c r="G106" s="43">
        <v>0</v>
      </c>
      <c r="H106" s="43">
        <v>0</v>
      </c>
      <c r="I106" s="47">
        <v>0</v>
      </c>
      <c r="J106" s="47">
        <v>0</v>
      </c>
      <c r="K106" s="150"/>
      <c r="L106" s="157"/>
      <c r="M106" s="164"/>
    </row>
    <row r="107" spans="1:13" x14ac:dyDescent="0.25">
      <c r="A107" s="101" t="s">
        <v>155</v>
      </c>
      <c r="B107" s="102"/>
      <c r="C107" s="103"/>
      <c r="D107" s="28" t="s">
        <v>156</v>
      </c>
      <c r="E107" s="43">
        <v>134.25</v>
      </c>
      <c r="F107" s="43">
        <v>121.25</v>
      </c>
      <c r="G107" s="43">
        <v>73.5</v>
      </c>
      <c r="H107" s="43">
        <v>65.25</v>
      </c>
      <c r="I107" s="47">
        <v>80</v>
      </c>
      <c r="J107" s="47">
        <v>40</v>
      </c>
      <c r="K107" s="150">
        <f t="shared" si="3"/>
        <v>1.515625</v>
      </c>
      <c r="L107" s="157">
        <f t="shared" si="4"/>
        <v>8.5773195876288639</v>
      </c>
      <c r="M107" s="164">
        <f t="shared" si="5"/>
        <v>13</v>
      </c>
    </row>
    <row r="108" spans="1:13" x14ac:dyDescent="0.25">
      <c r="A108" s="101" t="s">
        <v>157</v>
      </c>
      <c r="B108" s="102"/>
      <c r="C108" s="103"/>
      <c r="D108" s="28">
        <v>69</v>
      </c>
      <c r="E108" s="48">
        <v>681.75</v>
      </c>
      <c r="F108" s="43">
        <v>614.25</v>
      </c>
      <c r="G108" s="43">
        <v>545.25</v>
      </c>
      <c r="H108" s="43">
        <v>493.25</v>
      </c>
      <c r="I108" s="47">
        <v>497</v>
      </c>
      <c r="J108" s="47">
        <v>402</v>
      </c>
      <c r="K108" s="150">
        <f t="shared" si="3"/>
        <v>1.2359154929577465</v>
      </c>
      <c r="L108" s="157">
        <f t="shared" si="4"/>
        <v>54.615384615384642</v>
      </c>
      <c r="M108" s="164">
        <f t="shared" si="5"/>
        <v>67.5</v>
      </c>
    </row>
    <row r="109" spans="1:13" x14ac:dyDescent="0.25">
      <c r="A109" s="101" t="s">
        <v>158</v>
      </c>
      <c r="B109" s="102"/>
      <c r="C109" s="103"/>
      <c r="D109" s="28">
        <v>70</v>
      </c>
      <c r="E109" s="48">
        <v>26.5</v>
      </c>
      <c r="F109" s="43">
        <v>23.25</v>
      </c>
      <c r="G109" s="43">
        <v>23.5</v>
      </c>
      <c r="H109" s="43">
        <v>20.25</v>
      </c>
      <c r="I109" s="47">
        <v>16</v>
      </c>
      <c r="J109" s="47">
        <v>14</v>
      </c>
      <c r="K109" s="150">
        <f t="shared" si="3"/>
        <v>1.453125</v>
      </c>
      <c r="L109" s="157">
        <f t="shared" si="4"/>
        <v>2.2365591397849478</v>
      </c>
      <c r="M109" s="164">
        <f t="shared" si="5"/>
        <v>3.25</v>
      </c>
    </row>
    <row r="110" spans="1:13" x14ac:dyDescent="0.25">
      <c r="A110" s="101" t="s">
        <v>159</v>
      </c>
      <c r="B110" s="102"/>
      <c r="C110" s="103"/>
      <c r="D110" s="28">
        <v>71</v>
      </c>
      <c r="E110" s="48">
        <v>0.75</v>
      </c>
      <c r="F110" s="43">
        <v>0.5</v>
      </c>
      <c r="G110" s="43">
        <v>0.75</v>
      </c>
      <c r="H110" s="43">
        <v>0.5</v>
      </c>
      <c r="I110" s="47">
        <v>0</v>
      </c>
      <c r="J110" s="47">
        <v>0</v>
      </c>
      <c r="K110" s="150"/>
      <c r="L110" s="157"/>
      <c r="M110" s="164"/>
    </row>
    <row r="111" spans="1:13" x14ac:dyDescent="0.25">
      <c r="A111" s="101" t="s">
        <v>160</v>
      </c>
      <c r="B111" s="102"/>
      <c r="C111" s="103"/>
      <c r="D111" s="28">
        <v>72</v>
      </c>
      <c r="E111" s="48">
        <v>249.75</v>
      </c>
      <c r="F111" s="43">
        <v>209.5</v>
      </c>
      <c r="G111" s="43">
        <v>10.5</v>
      </c>
      <c r="H111" s="43">
        <v>8</v>
      </c>
      <c r="I111" s="47">
        <v>130</v>
      </c>
      <c r="J111" s="47">
        <v>2</v>
      </c>
      <c r="K111" s="150">
        <f t="shared" si="3"/>
        <v>1.6115384615384616</v>
      </c>
      <c r="L111" s="157">
        <f t="shared" si="4"/>
        <v>24.976133651551322</v>
      </c>
      <c r="M111" s="164">
        <f t="shared" si="5"/>
        <v>40.25</v>
      </c>
    </row>
    <row r="112" spans="1:13" x14ac:dyDescent="0.25">
      <c r="A112" s="101" t="s">
        <v>161</v>
      </c>
      <c r="B112" s="102"/>
      <c r="C112" s="103"/>
      <c r="D112" s="28">
        <v>73</v>
      </c>
      <c r="E112" s="48">
        <v>12</v>
      </c>
      <c r="F112" s="43">
        <v>10.25</v>
      </c>
      <c r="G112" s="43">
        <v>0</v>
      </c>
      <c r="H112" s="43">
        <v>0</v>
      </c>
      <c r="I112" s="47">
        <v>10</v>
      </c>
      <c r="J112" s="47">
        <v>0</v>
      </c>
      <c r="K112" s="150">
        <f t="shared" si="3"/>
        <v>1.0249999999999999</v>
      </c>
      <c r="L112" s="157">
        <f t="shared" si="4"/>
        <v>1.7073170731707332</v>
      </c>
      <c r="M112" s="164">
        <f t="shared" si="5"/>
        <v>1.75</v>
      </c>
    </row>
    <row r="113" spans="1:13" x14ac:dyDescent="0.25">
      <c r="A113" s="101" t="s">
        <v>162</v>
      </c>
      <c r="B113" s="102"/>
      <c r="C113" s="103"/>
      <c r="D113" s="28">
        <v>74</v>
      </c>
      <c r="E113" s="48">
        <v>1346</v>
      </c>
      <c r="F113" s="43">
        <v>1237.75</v>
      </c>
      <c r="G113" s="43">
        <v>660.75</v>
      </c>
      <c r="H113" s="43">
        <v>622</v>
      </c>
      <c r="I113" s="47">
        <v>1050</v>
      </c>
      <c r="J113" s="47">
        <v>544</v>
      </c>
      <c r="K113" s="150">
        <f t="shared" si="3"/>
        <v>1.1788095238095238</v>
      </c>
      <c r="L113" s="157">
        <f t="shared" si="4"/>
        <v>91.829933346798725</v>
      </c>
      <c r="M113" s="164">
        <f t="shared" si="5"/>
        <v>108.25</v>
      </c>
    </row>
    <row r="114" spans="1:13" x14ac:dyDescent="0.25">
      <c r="A114" s="101" t="s">
        <v>163</v>
      </c>
      <c r="B114" s="102"/>
      <c r="C114" s="103"/>
      <c r="D114" s="28" t="s">
        <v>164</v>
      </c>
      <c r="E114" s="43">
        <v>953.75</v>
      </c>
      <c r="F114" s="43">
        <v>878.75</v>
      </c>
      <c r="G114" s="43">
        <v>493.75</v>
      </c>
      <c r="H114" s="43">
        <v>464.75</v>
      </c>
      <c r="I114" s="47">
        <v>773</v>
      </c>
      <c r="J114" s="47">
        <v>413</v>
      </c>
      <c r="K114" s="150">
        <f t="shared" si="3"/>
        <v>1.1368046571798189</v>
      </c>
      <c r="L114" s="157">
        <f t="shared" si="4"/>
        <v>65.974395448079576</v>
      </c>
      <c r="M114" s="164">
        <f t="shared" si="5"/>
        <v>75</v>
      </c>
    </row>
    <row r="115" spans="1:13" x14ac:dyDescent="0.25">
      <c r="A115" s="101" t="s">
        <v>165</v>
      </c>
      <c r="B115" s="102"/>
      <c r="C115" s="103"/>
      <c r="D115" s="28" t="s">
        <v>166</v>
      </c>
      <c r="E115" s="43">
        <v>261</v>
      </c>
      <c r="F115" s="43">
        <v>236.25</v>
      </c>
      <c r="G115" s="43">
        <v>62</v>
      </c>
      <c r="H115" s="43">
        <v>56.25</v>
      </c>
      <c r="I115" s="47">
        <v>172</v>
      </c>
      <c r="J115" s="47">
        <v>45</v>
      </c>
      <c r="K115" s="150">
        <f t="shared" si="3"/>
        <v>1.3735465116279071</v>
      </c>
      <c r="L115" s="157">
        <f t="shared" si="4"/>
        <v>18.019047619047598</v>
      </c>
      <c r="M115" s="164">
        <f t="shared" si="5"/>
        <v>24.75</v>
      </c>
    </row>
    <row r="116" spans="1:13" x14ac:dyDescent="0.25">
      <c r="A116" s="101" t="s">
        <v>167</v>
      </c>
      <c r="B116" s="102"/>
      <c r="C116" s="103"/>
      <c r="D116" s="28" t="s">
        <v>168</v>
      </c>
      <c r="E116" s="43">
        <v>4.75</v>
      </c>
      <c r="F116" s="43">
        <v>4.75</v>
      </c>
      <c r="G116" s="43">
        <v>4.25</v>
      </c>
      <c r="H116" s="43">
        <v>4.25</v>
      </c>
      <c r="I116" s="47">
        <v>4</v>
      </c>
      <c r="J116" s="47">
        <v>4</v>
      </c>
      <c r="K116" s="150">
        <f t="shared" si="3"/>
        <v>1.1875</v>
      </c>
      <c r="L116" s="157"/>
      <c r="M116" s="164"/>
    </row>
    <row r="117" spans="1:13" x14ac:dyDescent="0.25">
      <c r="A117" s="101" t="s">
        <v>169</v>
      </c>
      <c r="B117" s="102"/>
      <c r="C117" s="103"/>
      <c r="D117" s="32" t="s">
        <v>170</v>
      </c>
      <c r="E117" s="43">
        <v>5.75</v>
      </c>
      <c r="F117" s="43">
        <v>4.75</v>
      </c>
      <c r="G117" s="43">
        <v>0.5</v>
      </c>
      <c r="H117" s="43">
        <v>0.5</v>
      </c>
      <c r="I117" s="47">
        <v>4</v>
      </c>
      <c r="J117" s="47">
        <v>0</v>
      </c>
      <c r="K117" s="150">
        <f t="shared" si="3"/>
        <v>1.1875</v>
      </c>
      <c r="L117" s="157">
        <f t="shared" si="4"/>
        <v>0.84210526315789469</v>
      </c>
      <c r="M117" s="164">
        <f t="shared" si="5"/>
        <v>1</v>
      </c>
    </row>
    <row r="118" spans="1:13" x14ac:dyDescent="0.25">
      <c r="A118" s="101" t="s">
        <v>171</v>
      </c>
      <c r="B118" s="102"/>
      <c r="C118" s="103"/>
      <c r="D118" s="32">
        <v>75</v>
      </c>
      <c r="E118" s="48">
        <v>1665</v>
      </c>
      <c r="F118" s="43">
        <v>1461.25</v>
      </c>
      <c r="G118" s="43">
        <v>636.25</v>
      </c>
      <c r="H118" s="43">
        <v>559.5</v>
      </c>
      <c r="I118" s="47">
        <v>955</v>
      </c>
      <c r="J118" s="47">
        <v>390</v>
      </c>
      <c r="K118" s="150">
        <f t="shared" si="3"/>
        <v>1.5301047120418849</v>
      </c>
      <c r="L118" s="157">
        <f t="shared" si="4"/>
        <v>133.16082121471345</v>
      </c>
      <c r="M118" s="164">
        <f t="shared" si="5"/>
        <v>203.75</v>
      </c>
    </row>
    <row r="119" spans="1:13" x14ac:dyDescent="0.25">
      <c r="A119" s="101" t="s">
        <v>172</v>
      </c>
      <c r="B119" s="102"/>
      <c r="C119" s="103"/>
      <c r="D119" s="32" t="s">
        <v>173</v>
      </c>
      <c r="E119" s="43">
        <v>125.75</v>
      </c>
      <c r="F119" s="43">
        <v>113.5</v>
      </c>
      <c r="G119" s="43">
        <v>44.5</v>
      </c>
      <c r="H119" s="43">
        <v>40.75</v>
      </c>
      <c r="I119" s="47">
        <v>62</v>
      </c>
      <c r="J119" s="47">
        <v>22</v>
      </c>
      <c r="K119" s="150">
        <f t="shared" si="3"/>
        <v>1.8306451612903225</v>
      </c>
      <c r="L119" s="157">
        <f t="shared" si="4"/>
        <v>6.6916299559471355</v>
      </c>
      <c r="M119" s="164">
        <f t="shared" si="5"/>
        <v>12.25</v>
      </c>
    </row>
    <row r="120" spans="1:13" x14ac:dyDescent="0.25">
      <c r="A120" s="101" t="s">
        <v>174</v>
      </c>
      <c r="B120" s="102"/>
      <c r="C120" s="103"/>
      <c r="D120" s="32">
        <v>76</v>
      </c>
      <c r="E120" s="48">
        <v>92.25</v>
      </c>
      <c r="F120" s="43">
        <v>80</v>
      </c>
      <c r="G120" s="43">
        <v>56.75</v>
      </c>
      <c r="H120" s="43">
        <v>48.5</v>
      </c>
      <c r="I120" s="47">
        <v>57</v>
      </c>
      <c r="J120" s="47">
        <v>35</v>
      </c>
      <c r="K120" s="150">
        <f t="shared" si="3"/>
        <v>1.4035087719298245</v>
      </c>
      <c r="L120" s="157">
        <f t="shared" si="4"/>
        <v>8.7281250000000057</v>
      </c>
      <c r="M120" s="164">
        <f t="shared" si="5"/>
        <v>12.25</v>
      </c>
    </row>
    <row r="121" spans="1:13" x14ac:dyDescent="0.25">
      <c r="A121" s="101" t="s">
        <v>175</v>
      </c>
      <c r="B121" s="102"/>
      <c r="C121" s="103"/>
      <c r="D121" s="32">
        <v>77</v>
      </c>
      <c r="E121" s="48">
        <v>2976</v>
      </c>
      <c r="F121" s="43">
        <v>2632.75</v>
      </c>
      <c r="G121" s="43">
        <v>1453</v>
      </c>
      <c r="H121" s="43">
        <v>1325.75</v>
      </c>
      <c r="I121" s="47">
        <v>1941</v>
      </c>
      <c r="J121" s="47">
        <v>996</v>
      </c>
      <c r="K121" s="150">
        <f t="shared" si="3"/>
        <v>1.3563884595569293</v>
      </c>
      <c r="L121" s="157">
        <f t="shared" si="4"/>
        <v>253.06172253347268</v>
      </c>
      <c r="M121" s="164">
        <f t="shared" si="5"/>
        <v>343.25</v>
      </c>
    </row>
    <row r="122" spans="1:13" x14ac:dyDescent="0.25">
      <c r="A122" s="101" t="s">
        <v>176</v>
      </c>
      <c r="B122" s="102"/>
      <c r="C122" s="103"/>
      <c r="D122" s="32" t="s">
        <v>177</v>
      </c>
      <c r="E122" s="43">
        <v>186.5</v>
      </c>
      <c r="F122" s="43">
        <v>169.5</v>
      </c>
      <c r="G122" s="43">
        <v>154</v>
      </c>
      <c r="H122" s="43">
        <v>142.25</v>
      </c>
      <c r="I122" s="47">
        <v>120</v>
      </c>
      <c r="J122" s="47">
        <v>111</v>
      </c>
      <c r="K122" s="150">
        <f t="shared" si="3"/>
        <v>1.4125000000000001</v>
      </c>
      <c r="L122" s="157">
        <f t="shared" si="4"/>
        <v>12.035398230088475</v>
      </c>
      <c r="M122" s="164">
        <f t="shared" si="5"/>
        <v>17</v>
      </c>
    </row>
    <row r="123" spans="1:13" x14ac:dyDescent="0.25">
      <c r="A123" s="101" t="s">
        <v>178</v>
      </c>
      <c r="B123" s="102"/>
      <c r="C123" s="103"/>
      <c r="D123" s="32" t="s">
        <v>179</v>
      </c>
      <c r="E123" s="43">
        <v>1124.75</v>
      </c>
      <c r="F123" s="43">
        <v>1034.75</v>
      </c>
      <c r="G123" s="43">
        <v>521.5</v>
      </c>
      <c r="H123" s="43">
        <v>487</v>
      </c>
      <c r="I123" s="47">
        <v>842</v>
      </c>
      <c r="J123" s="47">
        <v>403</v>
      </c>
      <c r="K123" s="150">
        <f t="shared" si="3"/>
        <v>1.2289192399049882</v>
      </c>
      <c r="L123" s="157">
        <f t="shared" si="4"/>
        <v>73.235080937424414</v>
      </c>
      <c r="M123" s="164">
        <f t="shared" si="5"/>
        <v>90</v>
      </c>
    </row>
    <row r="124" spans="1:13" x14ac:dyDescent="0.25">
      <c r="A124" s="101" t="s">
        <v>180</v>
      </c>
      <c r="B124" s="102"/>
      <c r="C124" s="103"/>
      <c r="D124" s="32" t="s">
        <v>181</v>
      </c>
      <c r="E124" s="43">
        <v>188.25</v>
      </c>
      <c r="F124" s="43">
        <v>165.75</v>
      </c>
      <c r="G124" s="43">
        <v>64.25</v>
      </c>
      <c r="H124" s="43">
        <v>58.25</v>
      </c>
      <c r="I124" s="47">
        <v>125</v>
      </c>
      <c r="J124" s="47">
        <v>47</v>
      </c>
      <c r="K124" s="150">
        <f t="shared" si="3"/>
        <v>1.3260000000000001</v>
      </c>
      <c r="L124" s="157">
        <f t="shared" si="4"/>
        <v>16.968325791855193</v>
      </c>
      <c r="M124" s="164">
        <f t="shared" si="5"/>
        <v>22.5</v>
      </c>
    </row>
    <row r="125" spans="1:13" x14ac:dyDescent="0.25">
      <c r="A125" s="101" t="s">
        <v>182</v>
      </c>
      <c r="B125" s="102"/>
      <c r="C125" s="103"/>
      <c r="D125" s="32" t="s">
        <v>183</v>
      </c>
      <c r="E125" s="43">
        <v>1028.75</v>
      </c>
      <c r="F125" s="43">
        <v>907.75</v>
      </c>
      <c r="G125" s="43">
        <v>500</v>
      </c>
      <c r="H125" s="43">
        <v>460</v>
      </c>
      <c r="I125" s="47">
        <v>596</v>
      </c>
      <c r="J125" s="47">
        <v>303</v>
      </c>
      <c r="K125" s="150">
        <f t="shared" si="3"/>
        <v>1.5230704697986577</v>
      </c>
      <c r="L125" s="157">
        <f t="shared" si="4"/>
        <v>79.444781052051781</v>
      </c>
      <c r="M125" s="164">
        <f t="shared" si="5"/>
        <v>121</v>
      </c>
    </row>
    <row r="126" spans="1:13" x14ac:dyDescent="0.25">
      <c r="A126" s="121" t="s">
        <v>184</v>
      </c>
      <c r="B126" s="122"/>
      <c r="C126" s="123"/>
      <c r="D126" s="32">
        <v>78</v>
      </c>
      <c r="E126" s="48">
        <v>39</v>
      </c>
      <c r="F126" s="43">
        <v>30.25</v>
      </c>
      <c r="G126" s="43">
        <v>37.25</v>
      </c>
      <c r="H126" s="43">
        <v>30</v>
      </c>
      <c r="I126" s="47">
        <v>21</v>
      </c>
      <c r="J126" s="47">
        <v>20</v>
      </c>
      <c r="K126" s="150">
        <f t="shared" si="3"/>
        <v>1.4404761904761905</v>
      </c>
      <c r="L126" s="157">
        <f t="shared" si="4"/>
        <v>6.0743801652892557</v>
      </c>
      <c r="M126" s="164">
        <f t="shared" si="5"/>
        <v>8.75</v>
      </c>
    </row>
    <row r="127" spans="1:13" x14ac:dyDescent="0.25">
      <c r="A127" s="101" t="s">
        <v>185</v>
      </c>
      <c r="B127" s="102"/>
      <c r="C127" s="103"/>
      <c r="D127" s="32">
        <v>79</v>
      </c>
      <c r="E127" s="48">
        <v>3967.5</v>
      </c>
      <c r="F127" s="43">
        <v>3599</v>
      </c>
      <c r="G127" s="43">
        <v>2028.25</v>
      </c>
      <c r="H127" s="43">
        <v>1848</v>
      </c>
      <c r="I127" s="47">
        <v>2380</v>
      </c>
      <c r="J127" s="47">
        <v>1250</v>
      </c>
      <c r="K127" s="150">
        <f t="shared" si="3"/>
        <v>1.5121848739495798</v>
      </c>
      <c r="L127" s="157">
        <f t="shared" si="4"/>
        <v>243.68713531536559</v>
      </c>
      <c r="M127" s="164">
        <f t="shared" si="5"/>
        <v>368.5</v>
      </c>
    </row>
    <row r="128" spans="1:13" x14ac:dyDescent="0.25">
      <c r="A128" s="101" t="s">
        <v>186</v>
      </c>
      <c r="B128" s="102"/>
      <c r="C128" s="103"/>
      <c r="D128" s="32" t="s">
        <v>187</v>
      </c>
      <c r="E128" s="43">
        <v>1889</v>
      </c>
      <c r="F128" s="43">
        <v>1742</v>
      </c>
      <c r="G128" s="43">
        <v>1062.5</v>
      </c>
      <c r="H128" s="43">
        <v>981.25</v>
      </c>
      <c r="I128" s="47">
        <v>1171</v>
      </c>
      <c r="J128" s="47">
        <v>680</v>
      </c>
      <c r="K128" s="150">
        <f t="shared" si="3"/>
        <v>1.4876174210076858</v>
      </c>
      <c r="L128" s="157">
        <f t="shared" si="4"/>
        <v>98.815729047072182</v>
      </c>
      <c r="M128" s="164">
        <f t="shared" si="5"/>
        <v>147</v>
      </c>
    </row>
    <row r="129" spans="1:13" x14ac:dyDescent="0.25">
      <c r="A129" s="101" t="s">
        <v>188</v>
      </c>
      <c r="B129" s="102"/>
      <c r="C129" s="103"/>
      <c r="D129" s="32" t="s">
        <v>189</v>
      </c>
      <c r="E129" s="43">
        <v>1590</v>
      </c>
      <c r="F129" s="43">
        <v>1426.75</v>
      </c>
      <c r="G129" s="43">
        <v>857.75</v>
      </c>
      <c r="H129" s="43">
        <v>768.75</v>
      </c>
      <c r="I129" s="47">
        <v>905</v>
      </c>
      <c r="J129" s="47">
        <v>502</v>
      </c>
      <c r="K129" s="150">
        <f t="shared" si="3"/>
        <v>1.5765193370165747</v>
      </c>
      <c r="L129" s="157">
        <f t="shared" si="4"/>
        <v>103.55090240056063</v>
      </c>
      <c r="M129" s="164">
        <f t="shared" si="5"/>
        <v>163.25</v>
      </c>
    </row>
    <row r="130" spans="1:13" x14ac:dyDescent="0.25">
      <c r="A130" s="73" t="s">
        <v>190</v>
      </c>
      <c r="B130" s="120"/>
      <c r="C130" s="74"/>
      <c r="D130" s="30" t="s">
        <v>191</v>
      </c>
      <c r="E130" s="43">
        <v>429.5</v>
      </c>
      <c r="F130" s="43">
        <v>371.25</v>
      </c>
      <c r="G130" s="43">
        <v>77.25</v>
      </c>
      <c r="H130" s="43">
        <v>64.75</v>
      </c>
      <c r="I130" s="47">
        <v>246</v>
      </c>
      <c r="J130" s="47">
        <v>42</v>
      </c>
      <c r="K130" s="150">
        <f t="shared" si="3"/>
        <v>1.5091463414634145</v>
      </c>
      <c r="L130" s="157">
        <f t="shared" si="4"/>
        <v>38.597979797979804</v>
      </c>
      <c r="M130" s="164">
        <f t="shared" si="5"/>
        <v>58.25</v>
      </c>
    </row>
    <row r="131" spans="1:13" x14ac:dyDescent="0.25">
      <c r="A131" s="101" t="s">
        <v>192</v>
      </c>
      <c r="B131" s="102"/>
      <c r="C131" s="103"/>
      <c r="D131" s="32" t="s">
        <v>193</v>
      </c>
      <c r="E131" s="43">
        <v>28</v>
      </c>
      <c r="F131" s="43">
        <v>22</v>
      </c>
      <c r="G131" s="43">
        <v>8</v>
      </c>
      <c r="H131" s="43">
        <v>8</v>
      </c>
      <c r="I131" s="47">
        <v>16</v>
      </c>
      <c r="J131" s="47">
        <v>7</v>
      </c>
      <c r="K131" s="150">
        <f t="shared" si="3"/>
        <v>1.375</v>
      </c>
      <c r="L131" s="157">
        <f t="shared" si="4"/>
        <v>4.3636363636363633</v>
      </c>
      <c r="M131" s="164">
        <f t="shared" si="5"/>
        <v>6</v>
      </c>
    </row>
    <row r="132" spans="1:13" x14ac:dyDescent="0.25">
      <c r="A132" s="101" t="s">
        <v>194</v>
      </c>
      <c r="B132" s="102"/>
      <c r="C132" s="103"/>
      <c r="D132" s="28">
        <v>80</v>
      </c>
      <c r="E132" s="48">
        <v>8906.5</v>
      </c>
      <c r="F132" s="43">
        <v>8404.75</v>
      </c>
      <c r="G132" s="43">
        <v>8866</v>
      </c>
      <c r="H132" s="43">
        <v>8390.75</v>
      </c>
      <c r="I132" s="47">
        <v>7420</v>
      </c>
      <c r="J132" s="47">
        <v>7413</v>
      </c>
      <c r="K132" s="150">
        <f t="shared" si="3"/>
        <v>1.1327156334231805</v>
      </c>
      <c r="L132" s="157">
        <f t="shared" si="4"/>
        <v>442.96201552693492</v>
      </c>
      <c r="M132" s="164">
        <f t="shared" si="5"/>
        <v>501.75</v>
      </c>
    </row>
    <row r="133" spans="1:13" x14ac:dyDescent="0.25">
      <c r="A133" s="105" t="s">
        <v>195</v>
      </c>
      <c r="B133" s="106"/>
      <c r="C133" s="107"/>
      <c r="D133" s="31">
        <v>81</v>
      </c>
      <c r="E133" s="48">
        <v>34.75</v>
      </c>
      <c r="F133" s="43">
        <v>31</v>
      </c>
      <c r="G133" s="43">
        <v>17</v>
      </c>
      <c r="H133" s="43">
        <v>16.5</v>
      </c>
      <c r="I133" s="47">
        <v>15</v>
      </c>
      <c r="J133" s="47">
        <v>10</v>
      </c>
      <c r="K133" s="150">
        <f t="shared" si="3"/>
        <v>2.0666666666666669</v>
      </c>
      <c r="L133" s="157">
        <f t="shared" si="4"/>
        <v>1.8145161290322562</v>
      </c>
      <c r="M133" s="164">
        <f t="shared" si="5"/>
        <v>3.75</v>
      </c>
    </row>
    <row r="134" spans="1:13" x14ac:dyDescent="0.25">
      <c r="A134" s="121" t="s">
        <v>196</v>
      </c>
      <c r="B134" s="122"/>
      <c r="C134" s="123"/>
      <c r="D134" s="32">
        <v>82</v>
      </c>
      <c r="E134" s="48">
        <v>245.5</v>
      </c>
      <c r="F134" s="43">
        <v>170</v>
      </c>
      <c r="G134" s="43">
        <v>72.25</v>
      </c>
      <c r="H134" s="43">
        <v>52</v>
      </c>
      <c r="I134" s="47">
        <v>93</v>
      </c>
      <c r="J134" s="47">
        <v>26</v>
      </c>
      <c r="K134" s="150">
        <f t="shared" ref="K134:K161" si="6">F134/I134</f>
        <v>1.8279569892473118</v>
      </c>
      <c r="L134" s="157">
        <f t="shared" ref="L134:L161" si="7">E134/K134-I134</f>
        <v>41.302941176470597</v>
      </c>
      <c r="M134" s="164">
        <f t="shared" ref="M134:M161" si="8">E134-F134</f>
        <v>75.5</v>
      </c>
    </row>
    <row r="135" spans="1:13" x14ac:dyDescent="0.25">
      <c r="A135" s="101" t="s">
        <v>197</v>
      </c>
      <c r="B135" s="102"/>
      <c r="C135" s="103"/>
      <c r="D135" s="32">
        <v>83</v>
      </c>
      <c r="E135" s="43">
        <v>8634.75</v>
      </c>
      <c r="F135" s="43">
        <v>8036.75</v>
      </c>
      <c r="G135" s="43">
        <v>3626</v>
      </c>
      <c r="H135" s="43">
        <v>3430</v>
      </c>
      <c r="I135" s="47">
        <v>6775</v>
      </c>
      <c r="J135" s="47">
        <v>3083</v>
      </c>
      <c r="K135" s="150">
        <f t="shared" si="6"/>
        <v>1.1862361623616235</v>
      </c>
      <c r="L135" s="157">
        <f t="shared" si="7"/>
        <v>504.1154695617015</v>
      </c>
      <c r="M135" s="164">
        <f t="shared" si="8"/>
        <v>598</v>
      </c>
    </row>
    <row r="136" spans="1:13" x14ac:dyDescent="0.25">
      <c r="A136" s="101" t="s">
        <v>198</v>
      </c>
      <c r="B136" s="102"/>
      <c r="C136" s="103"/>
      <c r="D136" s="32" t="s">
        <v>199</v>
      </c>
      <c r="E136" s="43">
        <v>675.25</v>
      </c>
      <c r="F136" s="43">
        <v>620</v>
      </c>
      <c r="G136" s="43">
        <v>549</v>
      </c>
      <c r="H136" s="43">
        <v>513</v>
      </c>
      <c r="I136" s="47">
        <v>541</v>
      </c>
      <c r="J136" s="47">
        <v>469</v>
      </c>
      <c r="K136" s="150">
        <f t="shared" si="6"/>
        <v>1.1460258780036969</v>
      </c>
      <c r="L136" s="157">
        <f t="shared" si="7"/>
        <v>48.21008064516127</v>
      </c>
      <c r="M136" s="164">
        <f t="shared" si="8"/>
        <v>55.25</v>
      </c>
    </row>
    <row r="137" spans="1:13" x14ac:dyDescent="0.25">
      <c r="A137" s="101" t="s">
        <v>200</v>
      </c>
      <c r="B137" s="102"/>
      <c r="C137" s="103"/>
      <c r="D137" s="32" t="s">
        <v>201</v>
      </c>
      <c r="E137" s="43">
        <v>2158.75</v>
      </c>
      <c r="F137" s="43">
        <v>1922</v>
      </c>
      <c r="G137" s="43">
        <v>1419.25</v>
      </c>
      <c r="H137" s="43">
        <v>1330.5</v>
      </c>
      <c r="I137" s="47">
        <v>1634</v>
      </c>
      <c r="J137" s="47">
        <v>1159</v>
      </c>
      <c r="K137" s="150">
        <f t="shared" si="6"/>
        <v>1.1762545899632804</v>
      </c>
      <c r="L137" s="157">
        <f t="shared" si="7"/>
        <v>201.2744536940686</v>
      </c>
      <c r="M137" s="164">
        <f t="shared" si="8"/>
        <v>236.75</v>
      </c>
    </row>
    <row r="138" spans="1:13" x14ac:dyDescent="0.25">
      <c r="A138" s="86" t="s">
        <v>202</v>
      </c>
      <c r="B138" s="87"/>
      <c r="C138" s="88"/>
      <c r="D138" s="58">
        <v>84</v>
      </c>
      <c r="E138" s="57">
        <v>143691.25</v>
      </c>
      <c r="F138" s="57">
        <v>137099.5</v>
      </c>
      <c r="G138" s="57">
        <v>75852</v>
      </c>
      <c r="H138" s="57">
        <v>72950.75</v>
      </c>
      <c r="I138" s="62">
        <v>121648</v>
      </c>
      <c r="J138" s="62">
        <v>65967</v>
      </c>
      <c r="K138" s="153">
        <f t="shared" si="6"/>
        <v>1.1270181178482177</v>
      </c>
      <c r="L138" s="160">
        <f t="shared" si="7"/>
        <v>5848.8411992749898</v>
      </c>
      <c r="M138" s="167">
        <f t="shared" si="8"/>
        <v>6591.75</v>
      </c>
    </row>
    <row r="139" spans="1:13" x14ac:dyDescent="0.25">
      <c r="A139" s="101" t="s">
        <v>203</v>
      </c>
      <c r="B139" s="102"/>
      <c r="C139" s="103"/>
      <c r="D139" s="32">
        <v>85</v>
      </c>
      <c r="E139" s="48">
        <v>89388.5</v>
      </c>
      <c r="F139" s="43">
        <v>84776.5</v>
      </c>
      <c r="G139" s="43">
        <v>33553.75</v>
      </c>
      <c r="H139" s="43">
        <v>32105.75</v>
      </c>
      <c r="I139" s="47">
        <v>74275</v>
      </c>
      <c r="J139" s="47">
        <v>28344</v>
      </c>
      <c r="K139" s="150">
        <f t="shared" si="6"/>
        <v>1.141386738471895</v>
      </c>
      <c r="L139" s="157">
        <f t="shared" si="7"/>
        <v>4040.6987785530218</v>
      </c>
      <c r="M139" s="164">
        <f t="shared" si="8"/>
        <v>4612</v>
      </c>
    </row>
    <row r="140" spans="1:13" x14ac:dyDescent="0.25">
      <c r="A140" s="101" t="s">
        <v>204</v>
      </c>
      <c r="B140" s="102"/>
      <c r="C140" s="103"/>
      <c r="D140" s="32">
        <v>86</v>
      </c>
      <c r="E140" s="48">
        <v>4785.75</v>
      </c>
      <c r="F140" s="43">
        <v>4589.25</v>
      </c>
      <c r="G140" s="43">
        <v>4757.75</v>
      </c>
      <c r="H140" s="43">
        <v>4561.25</v>
      </c>
      <c r="I140" s="47">
        <v>4254</v>
      </c>
      <c r="J140" s="47">
        <v>4233</v>
      </c>
      <c r="K140" s="150">
        <f t="shared" si="6"/>
        <v>1.0788081805359662</v>
      </c>
      <c r="L140" s="157">
        <f t="shared" si="7"/>
        <v>182.14544860271235</v>
      </c>
      <c r="M140" s="164">
        <f t="shared" si="8"/>
        <v>196.5</v>
      </c>
    </row>
    <row r="141" spans="1:13" x14ac:dyDescent="0.25">
      <c r="A141" s="101" t="s">
        <v>205</v>
      </c>
      <c r="B141" s="102"/>
      <c r="C141" s="103"/>
      <c r="D141" s="32" t="s">
        <v>206</v>
      </c>
      <c r="E141" s="43">
        <v>1480.5</v>
      </c>
      <c r="F141" s="43">
        <v>1379.5</v>
      </c>
      <c r="G141" s="43">
        <v>1480.5</v>
      </c>
      <c r="H141" s="43">
        <v>1379.5</v>
      </c>
      <c r="I141" s="47">
        <v>1261</v>
      </c>
      <c r="J141" s="47">
        <v>1261</v>
      </c>
      <c r="K141" s="150">
        <f t="shared" si="6"/>
        <v>1.0939730372720065</v>
      </c>
      <c r="L141" s="157">
        <f t="shared" si="7"/>
        <v>92.324030445813605</v>
      </c>
      <c r="M141" s="164">
        <f t="shared" si="8"/>
        <v>101</v>
      </c>
    </row>
    <row r="142" spans="1:13" x14ac:dyDescent="0.25">
      <c r="A142" s="83" t="s">
        <v>207</v>
      </c>
      <c r="B142" s="84"/>
      <c r="C142" s="85"/>
      <c r="D142" s="32" t="s">
        <v>208</v>
      </c>
      <c r="E142" s="43">
        <v>2924</v>
      </c>
      <c r="F142" s="43">
        <v>2829.75</v>
      </c>
      <c r="G142" s="43">
        <v>2923</v>
      </c>
      <c r="H142" s="43">
        <v>2828.75</v>
      </c>
      <c r="I142" s="47">
        <v>2592</v>
      </c>
      <c r="J142" s="47">
        <v>2607</v>
      </c>
      <c r="K142" s="150">
        <f t="shared" si="6"/>
        <v>1.091724537037037</v>
      </c>
      <c r="L142" s="157">
        <f t="shared" si="7"/>
        <v>86.331301351709499</v>
      </c>
      <c r="M142" s="164">
        <f t="shared" si="8"/>
        <v>94.25</v>
      </c>
    </row>
    <row r="143" spans="1:13" x14ac:dyDescent="0.25">
      <c r="A143" s="101" t="s">
        <v>209</v>
      </c>
      <c r="B143" s="102"/>
      <c r="C143" s="103"/>
      <c r="D143" s="32">
        <v>87</v>
      </c>
      <c r="E143" s="48">
        <v>21806.25</v>
      </c>
      <c r="F143" s="43">
        <v>21160.75</v>
      </c>
      <c r="G143" s="43">
        <v>21782.25</v>
      </c>
      <c r="H143" s="43">
        <v>21142</v>
      </c>
      <c r="I143" s="47">
        <v>19812</v>
      </c>
      <c r="J143" s="47">
        <v>19796</v>
      </c>
      <c r="K143" s="150">
        <f t="shared" si="6"/>
        <v>1.0680774278215224</v>
      </c>
      <c r="L143" s="157">
        <f t="shared" si="7"/>
        <v>604.35693441867625</v>
      </c>
      <c r="M143" s="164">
        <f t="shared" si="8"/>
        <v>645.5</v>
      </c>
    </row>
    <row r="144" spans="1:13" x14ac:dyDescent="0.25">
      <c r="A144" s="101" t="s">
        <v>210</v>
      </c>
      <c r="B144" s="102"/>
      <c r="C144" s="103"/>
      <c r="D144" s="32">
        <v>88</v>
      </c>
      <c r="E144" s="48">
        <v>318</v>
      </c>
      <c r="F144" s="43">
        <v>302.5</v>
      </c>
      <c r="G144" s="43">
        <v>279.5</v>
      </c>
      <c r="H144" s="43">
        <v>270</v>
      </c>
      <c r="I144" s="47">
        <v>236</v>
      </c>
      <c r="J144" s="47">
        <v>216</v>
      </c>
      <c r="K144" s="150">
        <f t="shared" si="6"/>
        <v>1.2817796610169492</v>
      </c>
      <c r="L144" s="157">
        <f t="shared" si="7"/>
        <v>12.092561983471057</v>
      </c>
      <c r="M144" s="164">
        <f t="shared" si="8"/>
        <v>15.5</v>
      </c>
    </row>
    <row r="145" spans="1:13" x14ac:dyDescent="0.25">
      <c r="A145" s="124" t="s">
        <v>211</v>
      </c>
      <c r="B145" s="125"/>
      <c r="C145" s="126"/>
      <c r="D145" s="32">
        <v>89</v>
      </c>
      <c r="E145" s="48">
        <v>1646.5</v>
      </c>
      <c r="F145" s="43">
        <v>1565.25</v>
      </c>
      <c r="G145" s="43">
        <v>889</v>
      </c>
      <c r="H145" s="43">
        <v>859.75</v>
      </c>
      <c r="I145" s="47">
        <v>1270</v>
      </c>
      <c r="J145" s="47">
        <v>709</v>
      </c>
      <c r="K145" s="150">
        <f t="shared" si="6"/>
        <v>1.2324803149606298</v>
      </c>
      <c r="L145" s="157">
        <f t="shared" si="7"/>
        <v>65.923973806101458</v>
      </c>
      <c r="M145" s="164">
        <f t="shared" si="8"/>
        <v>81.25</v>
      </c>
    </row>
    <row r="146" spans="1:13" x14ac:dyDescent="0.25">
      <c r="A146" s="127" t="s">
        <v>212</v>
      </c>
      <c r="B146" s="128"/>
      <c r="C146" s="129"/>
      <c r="D146" s="28">
        <v>90</v>
      </c>
      <c r="E146" s="48">
        <v>7295</v>
      </c>
      <c r="F146" s="43">
        <v>7086.5</v>
      </c>
      <c r="G146" s="43">
        <v>3223</v>
      </c>
      <c r="H146" s="43">
        <v>3128.25</v>
      </c>
      <c r="I146" s="47">
        <v>6509</v>
      </c>
      <c r="J146" s="47">
        <v>2861</v>
      </c>
      <c r="K146" s="150">
        <f t="shared" si="6"/>
        <v>1.0887233061914272</v>
      </c>
      <c r="L146" s="157">
        <f t="shared" si="7"/>
        <v>191.50871375149927</v>
      </c>
      <c r="M146" s="164">
        <f t="shared" si="8"/>
        <v>208.5</v>
      </c>
    </row>
    <row r="147" spans="1:13" x14ac:dyDescent="0.25">
      <c r="A147" s="101" t="s">
        <v>213</v>
      </c>
      <c r="B147" s="102"/>
      <c r="C147" s="103"/>
      <c r="D147" s="31">
        <v>91</v>
      </c>
      <c r="E147" s="48">
        <v>516.25</v>
      </c>
      <c r="F147" s="43">
        <v>490.75</v>
      </c>
      <c r="G147" s="43">
        <v>492.5</v>
      </c>
      <c r="H147" s="43">
        <v>469.25</v>
      </c>
      <c r="I147" s="47">
        <v>455</v>
      </c>
      <c r="J147" s="47">
        <v>437</v>
      </c>
      <c r="K147" s="150">
        <f t="shared" si="6"/>
        <v>1.0785714285714285</v>
      </c>
      <c r="L147" s="157">
        <f t="shared" si="7"/>
        <v>23.642384105960275</v>
      </c>
      <c r="M147" s="164">
        <f t="shared" si="8"/>
        <v>25.5</v>
      </c>
    </row>
    <row r="148" spans="1:13" x14ac:dyDescent="0.25">
      <c r="A148" s="101" t="s">
        <v>214</v>
      </c>
      <c r="B148" s="102"/>
      <c r="C148" s="103"/>
      <c r="D148" s="32">
        <v>92</v>
      </c>
      <c r="E148" s="48">
        <v>3434.5</v>
      </c>
      <c r="F148" s="43">
        <v>3257.25</v>
      </c>
      <c r="G148" s="43">
        <v>2965</v>
      </c>
      <c r="H148" s="43">
        <v>2821</v>
      </c>
      <c r="I148" s="47">
        <v>2876</v>
      </c>
      <c r="J148" s="47">
        <v>2487</v>
      </c>
      <c r="K148" s="150">
        <f t="shared" si="6"/>
        <v>1.1325625869262865</v>
      </c>
      <c r="L148" s="157">
        <f t="shared" si="7"/>
        <v>156.5034922096861</v>
      </c>
      <c r="M148" s="164">
        <f t="shared" si="8"/>
        <v>177.25</v>
      </c>
    </row>
    <row r="149" spans="1:13" x14ac:dyDescent="0.25">
      <c r="A149" s="101" t="s">
        <v>215</v>
      </c>
      <c r="B149" s="102"/>
      <c r="C149" s="103"/>
      <c r="D149" s="32">
        <v>93</v>
      </c>
      <c r="E149" s="48">
        <v>515.25</v>
      </c>
      <c r="F149" s="43">
        <v>471.75</v>
      </c>
      <c r="G149" s="43">
        <v>491.75</v>
      </c>
      <c r="H149" s="43">
        <v>447.75</v>
      </c>
      <c r="I149" s="47">
        <v>410</v>
      </c>
      <c r="J149" s="47">
        <v>394</v>
      </c>
      <c r="K149" s="150">
        <f t="shared" si="6"/>
        <v>1.150609756097561</v>
      </c>
      <c r="L149" s="157">
        <f t="shared" si="7"/>
        <v>37.806041335453074</v>
      </c>
      <c r="M149" s="164">
        <f t="shared" si="8"/>
        <v>43.5</v>
      </c>
    </row>
    <row r="150" spans="1:13" x14ac:dyDescent="0.25">
      <c r="A150" s="101" t="s">
        <v>216</v>
      </c>
      <c r="B150" s="102"/>
      <c r="C150" s="103"/>
      <c r="D150" s="32">
        <v>94</v>
      </c>
      <c r="E150" s="48">
        <v>3178.5</v>
      </c>
      <c r="F150" s="43">
        <v>3059.75</v>
      </c>
      <c r="G150" s="43">
        <v>1552</v>
      </c>
      <c r="H150" s="43">
        <v>1498</v>
      </c>
      <c r="I150" s="47">
        <v>2549</v>
      </c>
      <c r="J150" s="47">
        <v>1321</v>
      </c>
      <c r="K150" s="150">
        <f t="shared" si="6"/>
        <v>1.2003726951745783</v>
      </c>
      <c r="L150" s="157">
        <f t="shared" si="7"/>
        <v>98.927608464743571</v>
      </c>
      <c r="M150" s="164">
        <f t="shared" si="8"/>
        <v>118.75</v>
      </c>
    </row>
    <row r="151" spans="1:13" x14ac:dyDescent="0.25">
      <c r="A151" s="101" t="s">
        <v>217</v>
      </c>
      <c r="B151" s="102"/>
      <c r="C151" s="103"/>
      <c r="D151" s="32">
        <v>95</v>
      </c>
      <c r="E151" s="48">
        <v>405.75</v>
      </c>
      <c r="F151" s="43">
        <v>386.25</v>
      </c>
      <c r="G151" s="43">
        <v>389.75</v>
      </c>
      <c r="H151" s="43">
        <v>371.5</v>
      </c>
      <c r="I151" s="47">
        <v>390</v>
      </c>
      <c r="J151" s="47">
        <v>374</v>
      </c>
      <c r="K151" s="150">
        <f t="shared" si="6"/>
        <v>0.99038461538461542</v>
      </c>
      <c r="L151" s="157">
        <f t="shared" si="7"/>
        <v>19.689320388349472</v>
      </c>
      <c r="M151" s="164">
        <f t="shared" si="8"/>
        <v>19.5</v>
      </c>
    </row>
    <row r="152" spans="1:13" x14ac:dyDescent="0.25">
      <c r="A152" s="101" t="s">
        <v>218</v>
      </c>
      <c r="B152" s="102"/>
      <c r="C152" s="103"/>
      <c r="D152" s="32">
        <v>96</v>
      </c>
      <c r="E152" s="48">
        <v>52.25</v>
      </c>
      <c r="F152" s="43">
        <v>48</v>
      </c>
      <c r="G152" s="43">
        <v>51.25</v>
      </c>
      <c r="H152" s="43">
        <v>47</v>
      </c>
      <c r="I152" s="47">
        <v>49</v>
      </c>
      <c r="J152" s="47">
        <v>47</v>
      </c>
      <c r="K152" s="150">
        <f t="shared" si="6"/>
        <v>0.97959183673469385</v>
      </c>
      <c r="L152" s="157">
        <f t="shared" si="7"/>
        <v>4.3385416666666714</v>
      </c>
      <c r="M152" s="164">
        <f t="shared" si="8"/>
        <v>4.25</v>
      </c>
    </row>
    <row r="153" spans="1:13" x14ac:dyDescent="0.25">
      <c r="A153" s="101" t="s">
        <v>219</v>
      </c>
      <c r="B153" s="102"/>
      <c r="C153" s="103"/>
      <c r="D153" s="32">
        <v>97</v>
      </c>
      <c r="E153" s="48">
        <v>7410</v>
      </c>
      <c r="F153" s="43">
        <v>7068.75</v>
      </c>
      <c r="G153" s="43">
        <v>3577.5</v>
      </c>
      <c r="H153" s="43">
        <v>3422.5</v>
      </c>
      <c r="I153" s="47">
        <v>6075</v>
      </c>
      <c r="J153" s="47">
        <v>3079</v>
      </c>
      <c r="K153" s="150">
        <f t="shared" si="6"/>
        <v>1.1635802469135803</v>
      </c>
      <c r="L153" s="157">
        <f t="shared" si="7"/>
        <v>293.27586206896558</v>
      </c>
      <c r="M153" s="164">
        <f t="shared" si="8"/>
        <v>341.25</v>
      </c>
    </row>
    <row r="154" spans="1:13" x14ac:dyDescent="0.25">
      <c r="A154" s="130" t="s">
        <v>220</v>
      </c>
      <c r="B154" s="130"/>
      <c r="C154" s="130"/>
      <c r="D154" s="28">
        <v>98</v>
      </c>
      <c r="E154" s="48">
        <v>329.5</v>
      </c>
      <c r="F154" s="43">
        <v>317</v>
      </c>
      <c r="G154" s="43">
        <v>28.75</v>
      </c>
      <c r="H154" s="43">
        <v>27.75</v>
      </c>
      <c r="I154" s="47">
        <v>206</v>
      </c>
      <c r="J154" s="47">
        <v>14</v>
      </c>
      <c r="K154" s="150">
        <f t="shared" si="6"/>
        <v>1.5388349514563107</v>
      </c>
      <c r="L154" s="157">
        <f t="shared" si="7"/>
        <v>8.1230283911671961</v>
      </c>
      <c r="M154" s="164">
        <f t="shared" si="8"/>
        <v>12.5</v>
      </c>
    </row>
    <row r="155" spans="1:13" x14ac:dyDescent="0.25">
      <c r="A155" s="130" t="s">
        <v>221</v>
      </c>
      <c r="B155" s="130"/>
      <c r="C155" s="130"/>
      <c r="D155" s="28">
        <v>99</v>
      </c>
      <c r="E155" s="48">
        <v>2609.25</v>
      </c>
      <c r="F155" s="43">
        <v>2519.25</v>
      </c>
      <c r="G155" s="43">
        <v>1818.25</v>
      </c>
      <c r="H155" s="43">
        <v>1779</v>
      </c>
      <c r="I155" s="47">
        <v>2282</v>
      </c>
      <c r="J155" s="47">
        <v>1655</v>
      </c>
      <c r="K155" s="150">
        <f t="shared" si="6"/>
        <v>1.1039658194566171</v>
      </c>
      <c r="L155" s="157">
        <f t="shared" si="7"/>
        <v>81.524263173563213</v>
      </c>
      <c r="M155" s="164">
        <f t="shared" si="8"/>
        <v>90</v>
      </c>
    </row>
    <row r="156" spans="1:13" x14ac:dyDescent="0.25">
      <c r="A156" s="130" t="s">
        <v>222</v>
      </c>
      <c r="B156" s="130"/>
      <c r="C156" s="130"/>
      <c r="D156" s="28">
        <v>100</v>
      </c>
      <c r="E156" s="43">
        <v>864.5</v>
      </c>
      <c r="F156" s="43">
        <v>784.75</v>
      </c>
      <c r="G156" s="43">
        <v>259.75</v>
      </c>
      <c r="H156" s="43">
        <v>231.75</v>
      </c>
      <c r="I156" s="47">
        <v>673</v>
      </c>
      <c r="J156" s="47">
        <v>214</v>
      </c>
      <c r="K156" s="150">
        <f t="shared" si="6"/>
        <v>1.1660475482912334</v>
      </c>
      <c r="L156" s="157">
        <f t="shared" si="7"/>
        <v>68.393437400445919</v>
      </c>
      <c r="M156" s="164">
        <f t="shared" si="8"/>
        <v>79.75</v>
      </c>
    </row>
    <row r="157" spans="1:13" x14ac:dyDescent="0.25">
      <c r="A157" s="130" t="s">
        <v>223</v>
      </c>
      <c r="B157" s="130"/>
      <c r="C157" s="130"/>
      <c r="D157" s="28">
        <v>101</v>
      </c>
      <c r="E157" s="43">
        <v>954</v>
      </c>
      <c r="F157" s="43">
        <v>879.5</v>
      </c>
      <c r="G157" s="43">
        <v>388</v>
      </c>
      <c r="H157" s="43">
        <v>368.75</v>
      </c>
      <c r="I157" s="47">
        <v>777</v>
      </c>
      <c r="J157" s="47">
        <v>338</v>
      </c>
      <c r="K157" s="150">
        <f t="shared" si="6"/>
        <v>1.1319176319176318</v>
      </c>
      <c r="L157" s="157">
        <f t="shared" si="7"/>
        <v>65.81750994883464</v>
      </c>
      <c r="M157" s="164">
        <f t="shared" si="8"/>
        <v>74.5</v>
      </c>
    </row>
    <row r="158" spans="1:13" x14ac:dyDescent="0.25">
      <c r="A158" s="130" t="s">
        <v>224</v>
      </c>
      <c r="B158" s="130"/>
      <c r="C158" s="130"/>
      <c r="D158" s="28">
        <v>102</v>
      </c>
      <c r="E158" s="43">
        <v>61354.75</v>
      </c>
      <c r="F158" s="43">
        <v>57804.75</v>
      </c>
      <c r="G158" s="43">
        <v>12750.5</v>
      </c>
      <c r="H158" s="43">
        <v>12281.75</v>
      </c>
      <c r="I158" s="47">
        <v>48360</v>
      </c>
      <c r="J158" s="47">
        <v>10800</v>
      </c>
      <c r="K158" s="150">
        <f t="shared" si="6"/>
        <v>1.1953008684863524</v>
      </c>
      <c r="L158" s="157">
        <f t="shared" si="7"/>
        <v>2969.9635410584742</v>
      </c>
      <c r="M158" s="164">
        <f t="shared" si="8"/>
        <v>3550</v>
      </c>
    </row>
    <row r="159" spans="1:13" x14ac:dyDescent="0.25">
      <c r="A159" s="130" t="s">
        <v>225</v>
      </c>
      <c r="B159" s="130"/>
      <c r="C159" s="130"/>
      <c r="D159" s="28">
        <v>103</v>
      </c>
      <c r="E159" s="43">
        <v>50763.5</v>
      </c>
      <c r="F159" s="43">
        <v>47082.25</v>
      </c>
      <c r="G159" s="43">
        <v>20249.75</v>
      </c>
      <c r="H159" s="43">
        <v>19219.75</v>
      </c>
      <c r="I159" s="47">
        <v>39594</v>
      </c>
      <c r="J159" s="47">
        <v>16854</v>
      </c>
      <c r="K159" s="150">
        <f t="shared" si="6"/>
        <v>1.189125877658231</v>
      </c>
      <c r="L159" s="157">
        <f t="shared" si="7"/>
        <v>3095.7614068996336</v>
      </c>
      <c r="M159" s="164">
        <f t="shared" si="8"/>
        <v>3681.25</v>
      </c>
    </row>
    <row r="160" spans="1:13" x14ac:dyDescent="0.25">
      <c r="A160" s="101" t="s">
        <v>198</v>
      </c>
      <c r="B160" s="102"/>
      <c r="C160" s="103"/>
      <c r="D160" s="28" t="s">
        <v>226</v>
      </c>
      <c r="E160" s="43">
        <v>1002.75</v>
      </c>
      <c r="F160" s="43">
        <v>949.25</v>
      </c>
      <c r="G160" s="43">
        <v>974</v>
      </c>
      <c r="H160" s="43">
        <v>920.5</v>
      </c>
      <c r="I160" s="47">
        <v>902</v>
      </c>
      <c r="J160" s="47">
        <v>882</v>
      </c>
      <c r="K160" s="150">
        <f t="shared" si="6"/>
        <v>1.0523835920177385</v>
      </c>
      <c r="L160" s="157">
        <f t="shared" si="7"/>
        <v>50.836976560442395</v>
      </c>
      <c r="M160" s="164">
        <f t="shared" si="8"/>
        <v>53.5</v>
      </c>
    </row>
    <row r="161" spans="1:13" x14ac:dyDescent="0.25">
      <c r="A161" s="130" t="s">
        <v>227</v>
      </c>
      <c r="B161" s="130"/>
      <c r="C161" s="130"/>
      <c r="D161" s="28">
        <v>104</v>
      </c>
      <c r="E161" s="43">
        <v>331946.5</v>
      </c>
      <c r="F161" s="43">
        <v>311044.5</v>
      </c>
      <c r="G161" s="43">
        <v>147321.25</v>
      </c>
      <c r="H161" s="43">
        <v>139749.5</v>
      </c>
      <c r="I161" s="47">
        <v>261788</v>
      </c>
      <c r="J161" s="47">
        <v>121996</v>
      </c>
      <c r="K161" s="150">
        <f t="shared" si="6"/>
        <v>1.1881541552706771</v>
      </c>
      <c r="L161" s="157">
        <f t="shared" si="7"/>
        <v>17591.993351433601</v>
      </c>
      <c r="M161" s="164">
        <f t="shared" si="8"/>
        <v>20902</v>
      </c>
    </row>
  </sheetData>
  <mergeCells count="186">
    <mergeCell ref="A159:C159"/>
    <mergeCell ref="A160:C160"/>
    <mergeCell ref="A161:C161"/>
    <mergeCell ref="K7:K8"/>
    <mergeCell ref="L7:L8"/>
    <mergeCell ref="M7:M8"/>
    <mergeCell ref="K36:K37"/>
    <mergeCell ref="L36:L37"/>
    <mergeCell ref="M36:M37"/>
    <mergeCell ref="A153:C153"/>
    <mergeCell ref="A154:C154"/>
    <mergeCell ref="A155:C155"/>
    <mergeCell ref="A156:C156"/>
    <mergeCell ref="A157:C157"/>
    <mergeCell ref="A158:C158"/>
    <mergeCell ref="A147:C147"/>
    <mergeCell ref="A148:C148"/>
    <mergeCell ref="A149:C149"/>
    <mergeCell ref="A150:C150"/>
    <mergeCell ref="A151:C151"/>
    <mergeCell ref="A152:C152"/>
    <mergeCell ref="A141:C141"/>
    <mergeCell ref="A142:C142"/>
    <mergeCell ref="A143:C143"/>
    <mergeCell ref="A144:C144"/>
    <mergeCell ref="A145:C145"/>
    <mergeCell ref="A146:C146"/>
    <mergeCell ref="A135:C135"/>
    <mergeCell ref="A136:C136"/>
    <mergeCell ref="A137:C137"/>
    <mergeCell ref="A138:C138"/>
    <mergeCell ref="A139:C139"/>
    <mergeCell ref="A140:C140"/>
    <mergeCell ref="A129:C129"/>
    <mergeCell ref="A130:C130"/>
    <mergeCell ref="A131:C131"/>
    <mergeCell ref="A132:C132"/>
    <mergeCell ref="A133:C133"/>
    <mergeCell ref="A134:C134"/>
    <mergeCell ref="A123:C123"/>
    <mergeCell ref="A124:C124"/>
    <mergeCell ref="A125:C125"/>
    <mergeCell ref="A126:C126"/>
    <mergeCell ref="A127:C127"/>
    <mergeCell ref="A128:C128"/>
    <mergeCell ref="A117:C117"/>
    <mergeCell ref="A118:C118"/>
    <mergeCell ref="A119:C119"/>
    <mergeCell ref="A120:C120"/>
    <mergeCell ref="A121:C121"/>
    <mergeCell ref="A122:C122"/>
    <mergeCell ref="A111:C111"/>
    <mergeCell ref="A112:C112"/>
    <mergeCell ref="A113:C113"/>
    <mergeCell ref="A114:C114"/>
    <mergeCell ref="A115:C115"/>
    <mergeCell ref="A116:C116"/>
    <mergeCell ref="A105:C105"/>
    <mergeCell ref="A106:C106"/>
    <mergeCell ref="A107:C107"/>
    <mergeCell ref="A108:C108"/>
    <mergeCell ref="A109:C109"/>
    <mergeCell ref="A110:C110"/>
    <mergeCell ref="A99:C99"/>
    <mergeCell ref="A100:C100"/>
    <mergeCell ref="A101:C101"/>
    <mergeCell ref="A102:C102"/>
    <mergeCell ref="A103:C103"/>
    <mergeCell ref="A104:C104"/>
    <mergeCell ref="A93:C93"/>
    <mergeCell ref="A94:C94"/>
    <mergeCell ref="A95:C95"/>
    <mergeCell ref="A96:C96"/>
    <mergeCell ref="A97:C97"/>
    <mergeCell ref="A98:C98"/>
    <mergeCell ref="A87:C87"/>
    <mergeCell ref="A88:C88"/>
    <mergeCell ref="A89:C89"/>
    <mergeCell ref="A90:C90"/>
    <mergeCell ref="A91:C91"/>
    <mergeCell ref="A92:C92"/>
    <mergeCell ref="A81:C81"/>
    <mergeCell ref="A82:C82"/>
    <mergeCell ref="A83:C83"/>
    <mergeCell ref="A84:C84"/>
    <mergeCell ref="A85:C85"/>
    <mergeCell ref="A86:C86"/>
    <mergeCell ref="A75:C75"/>
    <mergeCell ref="A76:C76"/>
    <mergeCell ref="A77:C77"/>
    <mergeCell ref="A78:C78"/>
    <mergeCell ref="A79:C79"/>
    <mergeCell ref="A80:C80"/>
    <mergeCell ref="A69:C69"/>
    <mergeCell ref="A70:C70"/>
    <mergeCell ref="A71:C71"/>
    <mergeCell ref="A72:C72"/>
    <mergeCell ref="A73:C73"/>
    <mergeCell ref="A74:C74"/>
    <mergeCell ref="A63:C63"/>
    <mergeCell ref="A64:C64"/>
    <mergeCell ref="A65:C65"/>
    <mergeCell ref="A66:C66"/>
    <mergeCell ref="A67:C67"/>
    <mergeCell ref="A68:C68"/>
    <mergeCell ref="A57:C57"/>
    <mergeCell ref="A58:C58"/>
    <mergeCell ref="A59:C59"/>
    <mergeCell ref="A60:C60"/>
    <mergeCell ref="A61:C61"/>
    <mergeCell ref="A62:C62"/>
    <mergeCell ref="A51:C51"/>
    <mergeCell ref="A52:C52"/>
    <mergeCell ref="A53:C53"/>
    <mergeCell ref="A54:C54"/>
    <mergeCell ref="A55:C55"/>
    <mergeCell ref="A56:C56"/>
    <mergeCell ref="A45:C45"/>
    <mergeCell ref="A46:C46"/>
    <mergeCell ref="A47:C47"/>
    <mergeCell ref="A48:C48"/>
    <mergeCell ref="A49:C49"/>
    <mergeCell ref="A50:C50"/>
    <mergeCell ref="A39:C39"/>
    <mergeCell ref="A40:C40"/>
    <mergeCell ref="A41:C41"/>
    <mergeCell ref="A42:C42"/>
    <mergeCell ref="A43:C43"/>
    <mergeCell ref="A44:C44"/>
    <mergeCell ref="G36:G37"/>
    <mergeCell ref="H36:H37"/>
    <mergeCell ref="I36:I37"/>
    <mergeCell ref="J36:J37"/>
    <mergeCell ref="A37:C37"/>
    <mergeCell ref="A38:C38"/>
    <mergeCell ref="A34:C34"/>
    <mergeCell ref="A35:C35"/>
    <mergeCell ref="A36:C36"/>
    <mergeCell ref="D36:D37"/>
    <mergeCell ref="E36:E37"/>
    <mergeCell ref="F36:F37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F7:F8"/>
    <mergeCell ref="G7:G8"/>
    <mergeCell ref="H7:H8"/>
    <mergeCell ref="I7:I8"/>
    <mergeCell ref="J7:J8"/>
    <mergeCell ref="A9:C9"/>
    <mergeCell ref="A4:C4"/>
    <mergeCell ref="A5:C5"/>
    <mergeCell ref="A6:C6"/>
    <mergeCell ref="A7:C8"/>
    <mergeCell ref="D7:D8"/>
    <mergeCell ref="E7:E8"/>
    <mergeCell ref="B1:I1"/>
    <mergeCell ref="A2:C3"/>
    <mergeCell ref="D2:D3"/>
    <mergeCell ref="E2:F2"/>
    <mergeCell ref="G2:H2"/>
    <mergeCell ref="I2:J2"/>
    <mergeCell ref="K2:K3"/>
    <mergeCell ref="L2:L3"/>
    <mergeCell ref="M2: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171"/>
  <sheetViews>
    <sheetView workbookViewId="0">
      <selection activeCell="R12" sqref="R12"/>
    </sheetView>
  </sheetViews>
  <sheetFormatPr defaultRowHeight="15" x14ac:dyDescent="0.25"/>
  <cols>
    <col min="11" max="11" width="12.42578125" customWidth="1"/>
    <col min="12" max="13" width="14.7109375" style="20" customWidth="1"/>
  </cols>
  <sheetData>
    <row r="1" spans="1:13" x14ac:dyDescent="0.25">
      <c r="A1" s="18">
        <v>1100</v>
      </c>
      <c r="B1" s="63" t="s">
        <v>228</v>
      </c>
      <c r="C1" s="63"/>
      <c r="D1" s="63"/>
      <c r="E1" s="63"/>
      <c r="F1" s="63"/>
      <c r="G1" s="63"/>
      <c r="H1" s="63"/>
      <c r="I1" s="63"/>
      <c r="J1" s="19"/>
    </row>
    <row r="2" spans="1:13" x14ac:dyDescent="0.25">
      <c r="A2" s="65" t="s">
        <v>0</v>
      </c>
      <c r="B2" s="66"/>
      <c r="C2" s="66"/>
      <c r="D2" s="69" t="s">
        <v>1</v>
      </c>
      <c r="E2" s="71" t="s">
        <v>2</v>
      </c>
      <c r="F2" s="72"/>
      <c r="G2" s="73" t="s">
        <v>3</v>
      </c>
      <c r="H2" s="74"/>
      <c r="I2" s="75" t="s">
        <v>4</v>
      </c>
      <c r="J2" s="75"/>
      <c r="K2" s="147" t="s">
        <v>229</v>
      </c>
      <c r="L2" s="154" t="s">
        <v>230</v>
      </c>
      <c r="M2" s="161" t="s">
        <v>231</v>
      </c>
    </row>
    <row r="3" spans="1:13" ht="89.25" x14ac:dyDescent="0.25">
      <c r="A3" s="67"/>
      <c r="B3" s="68"/>
      <c r="C3" s="68"/>
      <c r="D3" s="70"/>
      <c r="E3" s="1" t="s">
        <v>5</v>
      </c>
      <c r="F3" s="1" t="s">
        <v>6</v>
      </c>
      <c r="G3" s="1" t="s">
        <v>5</v>
      </c>
      <c r="H3" s="1" t="s">
        <v>7</v>
      </c>
      <c r="I3" s="2" t="s">
        <v>8</v>
      </c>
      <c r="J3" s="2" t="s">
        <v>9</v>
      </c>
      <c r="K3" s="148"/>
      <c r="L3" s="155"/>
      <c r="M3" s="162"/>
    </row>
    <row r="4" spans="1:13" x14ac:dyDescent="0.25">
      <c r="A4" s="83" t="s">
        <v>10</v>
      </c>
      <c r="B4" s="84"/>
      <c r="C4" s="85"/>
      <c r="D4" s="3" t="s">
        <v>11</v>
      </c>
      <c r="E4" s="6">
        <v>1</v>
      </c>
      <c r="F4" s="6">
        <v>2</v>
      </c>
      <c r="G4" s="6">
        <v>3</v>
      </c>
      <c r="H4" s="6">
        <v>4</v>
      </c>
      <c r="I4" s="6">
        <v>5</v>
      </c>
      <c r="J4" s="6">
        <v>6</v>
      </c>
      <c r="K4" s="149">
        <v>7</v>
      </c>
      <c r="L4" s="156">
        <v>8</v>
      </c>
      <c r="M4" s="163">
        <v>9</v>
      </c>
    </row>
    <row r="5" spans="1:13" x14ac:dyDescent="0.25">
      <c r="A5" s="86" t="s">
        <v>12</v>
      </c>
      <c r="B5" s="87"/>
      <c r="C5" s="88"/>
      <c r="D5" s="53" t="s">
        <v>13</v>
      </c>
      <c r="E5" s="54">
        <v>6942.5</v>
      </c>
      <c r="F5" s="55">
        <v>5645.75</v>
      </c>
      <c r="G5" s="55">
        <v>2998</v>
      </c>
      <c r="H5" s="55">
        <v>2526.25</v>
      </c>
      <c r="I5" s="55">
        <v>4354</v>
      </c>
      <c r="J5" s="55">
        <v>2103</v>
      </c>
      <c r="K5" s="150">
        <f>F5/I5</f>
        <v>1.2966812126779972</v>
      </c>
      <c r="L5" s="157">
        <f>E5/K5-I5</f>
        <v>1000.053048753487</v>
      </c>
      <c r="M5" s="164">
        <f>E5-F5</f>
        <v>1296.75</v>
      </c>
    </row>
    <row r="6" spans="1:13" x14ac:dyDescent="0.25">
      <c r="A6" s="89" t="s">
        <v>14</v>
      </c>
      <c r="B6" s="90"/>
      <c r="C6" s="91"/>
      <c r="D6" s="5" t="s">
        <v>15</v>
      </c>
      <c r="E6" s="5">
        <v>33</v>
      </c>
      <c r="F6" s="6">
        <v>32</v>
      </c>
      <c r="G6" s="6">
        <v>16</v>
      </c>
      <c r="H6" s="6">
        <v>16</v>
      </c>
      <c r="I6" s="6">
        <v>32</v>
      </c>
      <c r="J6" s="6">
        <v>16</v>
      </c>
      <c r="K6" s="150">
        <f t="shared" ref="K6:K69" si="0">F6/I6</f>
        <v>1</v>
      </c>
      <c r="L6" s="157">
        <f t="shared" ref="L6:L69" si="1">E6/K6-I6</f>
        <v>1</v>
      </c>
      <c r="M6" s="164">
        <f t="shared" ref="M6:M69" si="2">E6-F6</f>
        <v>1</v>
      </c>
    </row>
    <row r="7" spans="1:13" x14ac:dyDescent="0.25">
      <c r="A7" s="92" t="s">
        <v>16</v>
      </c>
      <c r="B7" s="93"/>
      <c r="C7" s="94"/>
      <c r="D7" s="136" t="s">
        <v>17</v>
      </c>
      <c r="E7" s="136">
        <v>53</v>
      </c>
      <c r="F7" s="98">
        <v>53</v>
      </c>
      <c r="G7" s="112">
        <v>28</v>
      </c>
      <c r="H7" s="98">
        <v>28</v>
      </c>
      <c r="I7" s="98">
        <v>52</v>
      </c>
      <c r="J7" s="98">
        <v>28</v>
      </c>
      <c r="K7" s="151">
        <f t="shared" si="0"/>
        <v>1.0192307692307692</v>
      </c>
      <c r="L7" s="158"/>
      <c r="M7" s="165"/>
    </row>
    <row r="8" spans="1:13" x14ac:dyDescent="0.25">
      <c r="A8" s="95"/>
      <c r="B8" s="96"/>
      <c r="C8" s="97"/>
      <c r="D8" s="136"/>
      <c r="E8" s="136"/>
      <c r="F8" s="98"/>
      <c r="G8" s="113"/>
      <c r="H8" s="98"/>
      <c r="I8" s="98"/>
      <c r="J8" s="98"/>
      <c r="K8" s="152"/>
      <c r="L8" s="159"/>
      <c r="M8" s="166"/>
    </row>
    <row r="9" spans="1:13" x14ac:dyDescent="0.25">
      <c r="A9" s="80" t="s">
        <v>18</v>
      </c>
      <c r="B9" s="81"/>
      <c r="C9" s="82"/>
      <c r="D9" s="5" t="s">
        <v>19</v>
      </c>
      <c r="E9" s="5">
        <v>61.25</v>
      </c>
      <c r="F9" s="6">
        <v>50</v>
      </c>
      <c r="G9" s="6">
        <v>46.25</v>
      </c>
      <c r="H9" s="6">
        <v>40</v>
      </c>
      <c r="I9" s="6">
        <v>50</v>
      </c>
      <c r="J9" s="6">
        <v>40</v>
      </c>
      <c r="K9" s="150">
        <f t="shared" si="0"/>
        <v>1</v>
      </c>
      <c r="L9" s="157">
        <f t="shared" si="1"/>
        <v>11.25</v>
      </c>
      <c r="M9" s="164">
        <f t="shared" si="2"/>
        <v>11.25</v>
      </c>
    </row>
    <row r="10" spans="1:13" x14ac:dyDescent="0.25">
      <c r="A10" s="104" t="s">
        <v>20</v>
      </c>
      <c r="B10" s="104"/>
      <c r="C10" s="104"/>
      <c r="D10" s="5" t="s">
        <v>21</v>
      </c>
      <c r="E10" s="5">
        <v>468.75</v>
      </c>
      <c r="F10" s="6">
        <v>341</v>
      </c>
      <c r="G10" s="6">
        <v>308.25</v>
      </c>
      <c r="H10" s="6">
        <v>242.25</v>
      </c>
      <c r="I10" s="6">
        <v>292</v>
      </c>
      <c r="J10" s="6">
        <v>219</v>
      </c>
      <c r="K10" s="150">
        <f t="shared" si="0"/>
        <v>1.1678082191780821</v>
      </c>
      <c r="L10" s="157">
        <f t="shared" si="1"/>
        <v>109.39296187683289</v>
      </c>
      <c r="M10" s="164">
        <f t="shared" si="2"/>
        <v>127.75</v>
      </c>
    </row>
    <row r="11" spans="1:13" x14ac:dyDescent="0.25">
      <c r="A11" s="105" t="s">
        <v>22</v>
      </c>
      <c r="B11" s="106"/>
      <c r="C11" s="107"/>
      <c r="D11" s="7" t="s">
        <v>23</v>
      </c>
      <c r="E11" s="7">
        <v>104.5</v>
      </c>
      <c r="F11" s="8">
        <v>100</v>
      </c>
      <c r="G11" s="8">
        <v>104.5</v>
      </c>
      <c r="H11" s="8">
        <v>100</v>
      </c>
      <c r="I11" s="8">
        <v>95</v>
      </c>
      <c r="J11" s="8">
        <v>95</v>
      </c>
      <c r="K11" s="150">
        <f t="shared" si="0"/>
        <v>1.0526315789473684</v>
      </c>
      <c r="L11" s="157">
        <f t="shared" si="1"/>
        <v>4.2750000000000057</v>
      </c>
      <c r="M11" s="164">
        <f t="shared" si="2"/>
        <v>4.5</v>
      </c>
    </row>
    <row r="12" spans="1:13" x14ac:dyDescent="0.25">
      <c r="A12" s="101" t="s">
        <v>24</v>
      </c>
      <c r="B12" s="102"/>
      <c r="C12" s="103"/>
      <c r="D12" s="9" t="s">
        <v>25</v>
      </c>
      <c r="E12" s="5"/>
      <c r="F12" s="6"/>
      <c r="G12" s="6"/>
      <c r="H12" s="6"/>
      <c r="I12" s="6"/>
      <c r="J12" s="6"/>
      <c r="K12" s="150"/>
      <c r="L12" s="157"/>
      <c r="M12" s="164"/>
    </row>
    <row r="13" spans="1:13" x14ac:dyDescent="0.25">
      <c r="A13" s="101" t="s">
        <v>26</v>
      </c>
      <c r="B13" s="102"/>
      <c r="C13" s="103"/>
      <c r="D13" s="4" t="s">
        <v>27</v>
      </c>
      <c r="E13" s="5">
        <v>0.25</v>
      </c>
      <c r="F13" s="6">
        <v>0.25</v>
      </c>
      <c r="G13" s="6">
        <v>0.25</v>
      </c>
      <c r="H13" s="6">
        <v>0.25</v>
      </c>
      <c r="I13" s="6"/>
      <c r="J13" s="6"/>
      <c r="K13" s="150"/>
      <c r="L13" s="157"/>
      <c r="M13" s="164"/>
    </row>
    <row r="14" spans="1:13" x14ac:dyDescent="0.25">
      <c r="A14" s="89" t="s">
        <v>28</v>
      </c>
      <c r="B14" s="90"/>
      <c r="C14" s="91"/>
      <c r="D14" s="5" t="s">
        <v>29</v>
      </c>
      <c r="E14" s="5">
        <v>9</v>
      </c>
      <c r="F14" s="6">
        <v>3.25</v>
      </c>
      <c r="G14" s="6"/>
      <c r="H14" s="6"/>
      <c r="I14" s="6">
        <v>2</v>
      </c>
      <c r="J14" s="6"/>
      <c r="K14" s="150">
        <f t="shared" si="0"/>
        <v>1.625</v>
      </c>
      <c r="L14" s="157">
        <f t="shared" si="1"/>
        <v>3.5384615384615383</v>
      </c>
      <c r="M14" s="164">
        <f t="shared" si="2"/>
        <v>5.75</v>
      </c>
    </row>
    <row r="15" spans="1:13" x14ac:dyDescent="0.25">
      <c r="A15" s="101" t="s">
        <v>30</v>
      </c>
      <c r="B15" s="102"/>
      <c r="C15" s="103"/>
      <c r="D15" s="10" t="s">
        <v>31</v>
      </c>
      <c r="E15" s="5">
        <v>41.75</v>
      </c>
      <c r="F15" s="6">
        <v>34.75</v>
      </c>
      <c r="G15" s="6">
        <v>13.5</v>
      </c>
      <c r="H15" s="6">
        <v>10.5</v>
      </c>
      <c r="I15" s="6">
        <v>26</v>
      </c>
      <c r="J15" s="6">
        <v>9</v>
      </c>
      <c r="K15" s="150">
        <f t="shared" si="0"/>
        <v>1.3365384615384615</v>
      </c>
      <c r="L15" s="157">
        <f t="shared" si="1"/>
        <v>5.237410071942449</v>
      </c>
      <c r="M15" s="164">
        <f t="shared" si="2"/>
        <v>7</v>
      </c>
    </row>
    <row r="16" spans="1:13" x14ac:dyDescent="0.25">
      <c r="A16" s="101" t="s">
        <v>32</v>
      </c>
      <c r="B16" s="102"/>
      <c r="C16" s="103"/>
      <c r="D16" s="4" t="s">
        <v>33</v>
      </c>
      <c r="E16" s="6">
        <v>7.5</v>
      </c>
      <c r="F16" s="6">
        <v>4.25</v>
      </c>
      <c r="G16" s="6">
        <v>3</v>
      </c>
      <c r="H16" s="6">
        <v>1.75</v>
      </c>
      <c r="I16" s="6">
        <v>3</v>
      </c>
      <c r="J16" s="6">
        <v>1</v>
      </c>
      <c r="K16" s="150">
        <f t="shared" si="0"/>
        <v>1.4166666666666667</v>
      </c>
      <c r="L16" s="157">
        <f t="shared" si="1"/>
        <v>2.2941176470588234</v>
      </c>
      <c r="M16" s="164">
        <f t="shared" si="2"/>
        <v>3.25</v>
      </c>
    </row>
    <row r="17" spans="1:13" x14ac:dyDescent="0.25">
      <c r="A17" s="101" t="s">
        <v>34</v>
      </c>
      <c r="B17" s="102"/>
      <c r="C17" s="103"/>
      <c r="D17" s="5" t="s">
        <v>35</v>
      </c>
      <c r="E17" s="5">
        <v>19</v>
      </c>
      <c r="F17" s="6">
        <v>14.25</v>
      </c>
      <c r="G17" s="6">
        <v>13.25</v>
      </c>
      <c r="H17" s="6">
        <v>11.25</v>
      </c>
      <c r="I17" s="6">
        <v>15</v>
      </c>
      <c r="J17" s="6">
        <v>12</v>
      </c>
      <c r="K17" s="150">
        <f t="shared" si="0"/>
        <v>0.95</v>
      </c>
      <c r="L17" s="157">
        <f t="shared" si="1"/>
        <v>5</v>
      </c>
      <c r="M17" s="164">
        <f t="shared" si="2"/>
        <v>4.75</v>
      </c>
    </row>
    <row r="18" spans="1:13" x14ac:dyDescent="0.25">
      <c r="A18" s="101" t="s">
        <v>36</v>
      </c>
      <c r="B18" s="102"/>
      <c r="C18" s="103"/>
      <c r="D18" s="10" t="s">
        <v>37</v>
      </c>
      <c r="E18" s="5">
        <v>11.25</v>
      </c>
      <c r="F18" s="6">
        <v>7.75</v>
      </c>
      <c r="G18" s="6">
        <v>5</v>
      </c>
      <c r="H18" s="6">
        <v>3.25</v>
      </c>
      <c r="I18" s="6">
        <v>6</v>
      </c>
      <c r="J18" s="6">
        <v>2</v>
      </c>
      <c r="K18" s="150">
        <f t="shared" si="0"/>
        <v>1.2916666666666667</v>
      </c>
      <c r="L18" s="157">
        <f t="shared" si="1"/>
        <v>2.7096774193548381</v>
      </c>
      <c r="M18" s="164">
        <f t="shared" si="2"/>
        <v>3.5</v>
      </c>
    </row>
    <row r="19" spans="1:13" x14ac:dyDescent="0.25">
      <c r="A19" s="101" t="s">
        <v>38</v>
      </c>
      <c r="B19" s="102"/>
      <c r="C19" s="103"/>
      <c r="D19" s="4" t="s">
        <v>39</v>
      </c>
      <c r="E19" s="5">
        <v>187.75</v>
      </c>
      <c r="F19" s="6">
        <v>139.5</v>
      </c>
      <c r="G19" s="6">
        <v>45</v>
      </c>
      <c r="H19" s="6">
        <v>36.75</v>
      </c>
      <c r="I19" s="6">
        <v>136</v>
      </c>
      <c r="J19" s="6">
        <v>34</v>
      </c>
      <c r="K19" s="150">
        <f t="shared" si="0"/>
        <v>1.025735294117647</v>
      </c>
      <c r="L19" s="157">
        <f t="shared" si="1"/>
        <v>47.039426523297521</v>
      </c>
      <c r="M19" s="164">
        <f t="shared" si="2"/>
        <v>48.25</v>
      </c>
    </row>
    <row r="20" spans="1:13" x14ac:dyDescent="0.25">
      <c r="A20" s="101" t="s">
        <v>40</v>
      </c>
      <c r="B20" s="102"/>
      <c r="C20" s="103"/>
      <c r="D20" s="4" t="s">
        <v>41</v>
      </c>
      <c r="E20" s="5">
        <v>53.75</v>
      </c>
      <c r="F20" s="6">
        <v>45</v>
      </c>
      <c r="G20" s="6"/>
      <c r="H20" s="6"/>
      <c r="I20" s="6">
        <v>42</v>
      </c>
      <c r="J20" s="6"/>
      <c r="K20" s="150">
        <f t="shared" si="0"/>
        <v>1.0714285714285714</v>
      </c>
      <c r="L20" s="157">
        <f t="shared" si="1"/>
        <v>8.1666666666666714</v>
      </c>
      <c r="M20" s="164">
        <f t="shared" si="2"/>
        <v>8.75</v>
      </c>
    </row>
    <row r="21" spans="1:13" x14ac:dyDescent="0.25">
      <c r="A21" s="101" t="s">
        <v>42</v>
      </c>
      <c r="B21" s="102"/>
      <c r="C21" s="103"/>
      <c r="D21" s="11">
        <v>11</v>
      </c>
      <c r="E21" s="5">
        <v>22.25</v>
      </c>
      <c r="F21" s="6">
        <v>16.5</v>
      </c>
      <c r="G21" s="6">
        <v>7.75</v>
      </c>
      <c r="H21" s="6">
        <v>6.5</v>
      </c>
      <c r="I21" s="6">
        <v>12</v>
      </c>
      <c r="J21" s="6">
        <v>4</v>
      </c>
      <c r="K21" s="150">
        <f t="shared" si="0"/>
        <v>1.375</v>
      </c>
      <c r="L21" s="157">
        <f t="shared" si="1"/>
        <v>4.1818181818181834</v>
      </c>
      <c r="M21" s="164">
        <f t="shared" si="2"/>
        <v>5.75</v>
      </c>
    </row>
    <row r="22" spans="1:13" x14ac:dyDescent="0.25">
      <c r="A22" s="101" t="s">
        <v>43</v>
      </c>
      <c r="B22" s="102"/>
      <c r="C22" s="103"/>
      <c r="D22" s="11">
        <v>12</v>
      </c>
      <c r="E22" s="6">
        <v>28.5</v>
      </c>
      <c r="F22" s="6">
        <v>21.75</v>
      </c>
      <c r="G22" s="6">
        <v>23.75</v>
      </c>
      <c r="H22" s="6">
        <v>18</v>
      </c>
      <c r="I22" s="6">
        <v>22</v>
      </c>
      <c r="J22" s="6">
        <v>19</v>
      </c>
      <c r="K22" s="150">
        <f t="shared" si="0"/>
        <v>0.98863636363636365</v>
      </c>
      <c r="L22" s="157">
        <f t="shared" si="1"/>
        <v>6.8275862068965516</v>
      </c>
      <c r="M22" s="164">
        <f t="shared" si="2"/>
        <v>6.75</v>
      </c>
    </row>
    <row r="23" spans="1:13" x14ac:dyDescent="0.25">
      <c r="A23" s="101" t="s">
        <v>44</v>
      </c>
      <c r="B23" s="102"/>
      <c r="C23" s="103"/>
      <c r="D23" s="12">
        <v>13</v>
      </c>
      <c r="E23" s="6">
        <v>11.75</v>
      </c>
      <c r="F23" s="6">
        <v>7.25</v>
      </c>
      <c r="G23" s="6">
        <v>5.75</v>
      </c>
      <c r="H23" s="6">
        <v>4.25</v>
      </c>
      <c r="I23" s="6">
        <v>6</v>
      </c>
      <c r="J23" s="6">
        <v>3</v>
      </c>
      <c r="K23" s="150">
        <f t="shared" si="0"/>
        <v>1.2083333333333333</v>
      </c>
      <c r="L23" s="157">
        <f t="shared" si="1"/>
        <v>3.724137931034484</v>
      </c>
      <c r="M23" s="164">
        <f t="shared" si="2"/>
        <v>4.5</v>
      </c>
    </row>
    <row r="24" spans="1:13" x14ac:dyDescent="0.25">
      <c r="A24" s="101" t="s">
        <v>45</v>
      </c>
      <c r="B24" s="102"/>
      <c r="C24" s="103"/>
      <c r="D24" s="11">
        <v>14</v>
      </c>
      <c r="E24" s="6">
        <v>19.25</v>
      </c>
      <c r="F24" s="6">
        <v>14.25</v>
      </c>
      <c r="G24" s="6">
        <v>5</v>
      </c>
      <c r="H24" s="6">
        <v>3.5</v>
      </c>
      <c r="I24" s="6">
        <v>12</v>
      </c>
      <c r="J24" s="6">
        <v>4</v>
      </c>
      <c r="K24" s="150">
        <f t="shared" si="0"/>
        <v>1.1875</v>
      </c>
      <c r="L24" s="157">
        <f t="shared" si="1"/>
        <v>4.2105263157894726</v>
      </c>
      <c r="M24" s="164">
        <f t="shared" si="2"/>
        <v>5</v>
      </c>
    </row>
    <row r="25" spans="1:13" x14ac:dyDescent="0.25">
      <c r="A25" s="101" t="s">
        <v>46</v>
      </c>
      <c r="B25" s="102"/>
      <c r="C25" s="103"/>
      <c r="D25" s="11">
        <v>15</v>
      </c>
      <c r="E25" s="6">
        <v>10.25</v>
      </c>
      <c r="F25" s="6">
        <v>5.5</v>
      </c>
      <c r="G25" s="6">
        <v>2.25</v>
      </c>
      <c r="H25" s="6">
        <v>0.5</v>
      </c>
      <c r="I25" s="6">
        <v>4</v>
      </c>
      <c r="J25" s="6"/>
      <c r="K25" s="150">
        <f t="shared" si="0"/>
        <v>1.375</v>
      </c>
      <c r="L25" s="157">
        <f t="shared" si="1"/>
        <v>3.4545454545454541</v>
      </c>
      <c r="M25" s="164">
        <f t="shared" si="2"/>
        <v>4.75</v>
      </c>
    </row>
    <row r="26" spans="1:13" x14ac:dyDescent="0.25">
      <c r="A26" s="101" t="s">
        <v>47</v>
      </c>
      <c r="B26" s="102"/>
      <c r="C26" s="103"/>
      <c r="D26" s="13">
        <v>16</v>
      </c>
      <c r="E26" s="6">
        <v>60.25</v>
      </c>
      <c r="F26" s="6">
        <v>52.5</v>
      </c>
      <c r="G26" s="6">
        <v>42.5</v>
      </c>
      <c r="H26" s="6">
        <v>37.75</v>
      </c>
      <c r="I26" s="6">
        <v>42</v>
      </c>
      <c r="J26" s="6">
        <v>31</v>
      </c>
      <c r="K26" s="150">
        <f t="shared" si="0"/>
        <v>1.25</v>
      </c>
      <c r="L26" s="157">
        <f t="shared" si="1"/>
        <v>6.2000000000000028</v>
      </c>
      <c r="M26" s="164">
        <f t="shared" si="2"/>
        <v>7.75</v>
      </c>
    </row>
    <row r="27" spans="1:13" x14ac:dyDescent="0.25">
      <c r="A27" s="101" t="s">
        <v>48</v>
      </c>
      <c r="B27" s="102"/>
      <c r="C27" s="103"/>
      <c r="D27" s="13">
        <v>17</v>
      </c>
      <c r="E27" s="6">
        <v>16.75</v>
      </c>
      <c r="F27" s="6">
        <v>12</v>
      </c>
      <c r="G27" s="6">
        <v>12.25</v>
      </c>
      <c r="H27" s="6">
        <v>10</v>
      </c>
      <c r="I27" s="6">
        <v>10</v>
      </c>
      <c r="J27" s="6">
        <v>8</v>
      </c>
      <c r="K27" s="150">
        <f t="shared" si="0"/>
        <v>1.2</v>
      </c>
      <c r="L27" s="157">
        <f t="shared" si="1"/>
        <v>3.9583333333333339</v>
      </c>
      <c r="M27" s="164">
        <f t="shared" si="2"/>
        <v>4.75</v>
      </c>
    </row>
    <row r="28" spans="1:13" x14ac:dyDescent="0.25">
      <c r="A28" s="101" t="s">
        <v>49</v>
      </c>
      <c r="B28" s="102"/>
      <c r="C28" s="103"/>
      <c r="D28" s="12">
        <v>18</v>
      </c>
      <c r="E28" s="6">
        <v>9.75</v>
      </c>
      <c r="F28" s="6">
        <v>8</v>
      </c>
      <c r="G28" s="6">
        <v>9.75</v>
      </c>
      <c r="H28" s="6">
        <v>8</v>
      </c>
      <c r="I28" s="6">
        <v>6</v>
      </c>
      <c r="J28" s="6">
        <v>6</v>
      </c>
      <c r="K28" s="150">
        <f t="shared" si="0"/>
        <v>1.3333333333333333</v>
      </c>
      <c r="L28" s="157">
        <f t="shared" si="1"/>
        <v>1.3125</v>
      </c>
      <c r="M28" s="164">
        <f t="shared" si="2"/>
        <v>1.75</v>
      </c>
    </row>
    <row r="29" spans="1:13" x14ac:dyDescent="0.25">
      <c r="A29" s="101" t="s">
        <v>50</v>
      </c>
      <c r="B29" s="102"/>
      <c r="C29" s="103"/>
      <c r="D29" s="14">
        <v>19</v>
      </c>
      <c r="E29" s="6">
        <v>10.5</v>
      </c>
      <c r="F29" s="6">
        <v>9.5</v>
      </c>
      <c r="G29" s="6">
        <v>9.5</v>
      </c>
      <c r="H29" s="6">
        <v>8.5</v>
      </c>
      <c r="I29" s="6">
        <v>8</v>
      </c>
      <c r="J29" s="6">
        <v>7</v>
      </c>
      <c r="K29" s="150">
        <f t="shared" si="0"/>
        <v>1.1875</v>
      </c>
      <c r="L29" s="157">
        <f t="shared" si="1"/>
        <v>0.84210526315789558</v>
      </c>
      <c r="M29" s="164">
        <f t="shared" si="2"/>
        <v>1</v>
      </c>
    </row>
    <row r="30" spans="1:13" x14ac:dyDescent="0.25">
      <c r="A30" s="101" t="s">
        <v>51</v>
      </c>
      <c r="B30" s="102"/>
      <c r="C30" s="103"/>
      <c r="D30" s="14">
        <v>20</v>
      </c>
      <c r="E30" s="6">
        <v>15</v>
      </c>
      <c r="F30" s="6">
        <v>12</v>
      </c>
      <c r="G30" s="6">
        <v>6.5</v>
      </c>
      <c r="H30" s="6">
        <v>4.25</v>
      </c>
      <c r="I30" s="6">
        <v>7</v>
      </c>
      <c r="J30" s="6">
        <v>1</v>
      </c>
      <c r="K30" s="150">
        <f t="shared" si="0"/>
        <v>1.7142857142857142</v>
      </c>
      <c r="L30" s="157">
        <f t="shared" si="1"/>
        <v>1.75</v>
      </c>
      <c r="M30" s="164">
        <f t="shared" si="2"/>
        <v>3</v>
      </c>
    </row>
    <row r="31" spans="1:13" x14ac:dyDescent="0.25">
      <c r="A31" s="101" t="s">
        <v>52</v>
      </c>
      <c r="B31" s="102"/>
      <c r="C31" s="103"/>
      <c r="D31" s="11">
        <v>21</v>
      </c>
      <c r="E31" s="6">
        <v>36.75</v>
      </c>
      <c r="F31" s="6">
        <v>23.75</v>
      </c>
      <c r="G31" s="6">
        <v>4</v>
      </c>
      <c r="H31" s="6">
        <v>4</v>
      </c>
      <c r="I31" s="6">
        <v>22</v>
      </c>
      <c r="J31" s="6">
        <v>2</v>
      </c>
      <c r="K31" s="150">
        <f t="shared" si="0"/>
        <v>1.0795454545454546</v>
      </c>
      <c r="L31" s="157">
        <f t="shared" si="1"/>
        <v>12.042105263157893</v>
      </c>
      <c r="M31" s="164">
        <f t="shared" si="2"/>
        <v>13</v>
      </c>
    </row>
    <row r="32" spans="1:13" x14ac:dyDescent="0.25">
      <c r="A32" s="101" t="s">
        <v>53</v>
      </c>
      <c r="B32" s="102"/>
      <c r="C32" s="103"/>
      <c r="D32" s="14">
        <v>22</v>
      </c>
      <c r="E32" s="6">
        <v>79</v>
      </c>
      <c r="F32" s="6">
        <v>53.25</v>
      </c>
      <c r="G32" s="6">
        <v>31.5</v>
      </c>
      <c r="H32" s="6">
        <v>27.5</v>
      </c>
      <c r="I32" s="6">
        <v>42</v>
      </c>
      <c r="J32" s="6">
        <v>20</v>
      </c>
      <c r="K32" s="150">
        <f t="shared" si="0"/>
        <v>1.2678571428571428</v>
      </c>
      <c r="L32" s="157">
        <f t="shared" si="1"/>
        <v>20.309859154929583</v>
      </c>
      <c r="M32" s="164">
        <f t="shared" si="2"/>
        <v>25.75</v>
      </c>
    </row>
    <row r="33" spans="1:13" x14ac:dyDescent="0.25">
      <c r="A33" s="83" t="s">
        <v>54</v>
      </c>
      <c r="B33" s="84"/>
      <c r="C33" s="85"/>
      <c r="D33" s="9" t="s">
        <v>55</v>
      </c>
      <c r="E33" s="6"/>
      <c r="F33" s="6"/>
      <c r="G33" s="6"/>
      <c r="H33" s="6"/>
      <c r="I33" s="6"/>
      <c r="J33" s="6"/>
      <c r="K33" s="150"/>
      <c r="L33" s="157"/>
      <c r="M33" s="164"/>
    </row>
    <row r="34" spans="1:13" x14ac:dyDescent="0.25">
      <c r="A34" s="101" t="s">
        <v>56</v>
      </c>
      <c r="B34" s="102"/>
      <c r="C34" s="103"/>
      <c r="D34" s="11">
        <v>23</v>
      </c>
      <c r="E34" s="6">
        <v>77</v>
      </c>
      <c r="F34" s="6">
        <v>69.75</v>
      </c>
      <c r="G34" s="6">
        <v>5.25</v>
      </c>
      <c r="H34" s="6">
        <v>4.75</v>
      </c>
      <c r="I34" s="6">
        <v>43</v>
      </c>
      <c r="J34" s="6">
        <v>2</v>
      </c>
      <c r="K34" s="150">
        <f t="shared" si="0"/>
        <v>1.6220930232558139</v>
      </c>
      <c r="L34" s="157">
        <f t="shared" si="1"/>
        <v>4.4695340501792131</v>
      </c>
      <c r="M34" s="164">
        <f t="shared" si="2"/>
        <v>7.25</v>
      </c>
    </row>
    <row r="35" spans="1:13" x14ac:dyDescent="0.25">
      <c r="A35" s="89" t="s">
        <v>57</v>
      </c>
      <c r="B35" s="90"/>
      <c r="C35" s="91"/>
      <c r="D35" s="6">
        <v>24</v>
      </c>
      <c r="E35" s="6">
        <v>182.5</v>
      </c>
      <c r="F35" s="6">
        <v>113</v>
      </c>
      <c r="G35" s="6">
        <v>77</v>
      </c>
      <c r="H35" s="6">
        <v>53.25</v>
      </c>
      <c r="I35" s="6">
        <v>86</v>
      </c>
      <c r="J35" s="6">
        <v>40</v>
      </c>
      <c r="K35" s="150">
        <f t="shared" si="0"/>
        <v>1.3139534883720929</v>
      </c>
      <c r="L35" s="157">
        <f t="shared" si="1"/>
        <v>52.893805309734518</v>
      </c>
      <c r="M35" s="164">
        <f t="shared" si="2"/>
        <v>69.5</v>
      </c>
    </row>
    <row r="36" spans="1:13" x14ac:dyDescent="0.25">
      <c r="A36" s="101" t="s">
        <v>58</v>
      </c>
      <c r="B36" s="102"/>
      <c r="C36" s="103"/>
      <c r="D36" s="134" t="s">
        <v>59</v>
      </c>
      <c r="E36" s="112">
        <v>74.25</v>
      </c>
      <c r="F36" s="112">
        <v>38.75</v>
      </c>
      <c r="G36" s="112">
        <v>29.25</v>
      </c>
      <c r="H36" s="112">
        <v>22.75</v>
      </c>
      <c r="I36" s="112">
        <v>29</v>
      </c>
      <c r="J36" s="112">
        <v>18</v>
      </c>
      <c r="K36" s="150">
        <f t="shared" si="0"/>
        <v>1.3362068965517242</v>
      </c>
      <c r="L36" s="157">
        <f t="shared" si="1"/>
        <v>26.567741935483866</v>
      </c>
      <c r="M36" s="164">
        <f t="shared" si="2"/>
        <v>35.5</v>
      </c>
    </row>
    <row r="37" spans="1:13" x14ac:dyDescent="0.25">
      <c r="A37" s="105" t="s">
        <v>60</v>
      </c>
      <c r="B37" s="106"/>
      <c r="C37" s="106"/>
      <c r="D37" s="135"/>
      <c r="E37" s="113"/>
      <c r="F37" s="113"/>
      <c r="G37" s="113"/>
      <c r="H37" s="113"/>
      <c r="I37" s="113"/>
      <c r="J37" s="113"/>
      <c r="K37" s="150"/>
      <c r="L37" s="157"/>
      <c r="M37" s="164"/>
    </row>
    <row r="38" spans="1:13" x14ac:dyDescent="0.25">
      <c r="A38" s="101" t="s">
        <v>61</v>
      </c>
      <c r="B38" s="102"/>
      <c r="C38" s="103"/>
      <c r="D38" s="9" t="s">
        <v>62</v>
      </c>
      <c r="E38" s="6">
        <v>6.75</v>
      </c>
      <c r="F38" s="6">
        <v>5.25</v>
      </c>
      <c r="G38" s="6">
        <v>2.75</v>
      </c>
      <c r="H38" s="6">
        <v>1.25</v>
      </c>
      <c r="I38" s="6">
        <v>4</v>
      </c>
      <c r="J38" s="6"/>
      <c r="K38" s="150">
        <f t="shared" si="0"/>
        <v>1.3125</v>
      </c>
      <c r="L38" s="157">
        <f t="shared" si="1"/>
        <v>1.1428571428571432</v>
      </c>
      <c r="M38" s="164">
        <f t="shared" si="2"/>
        <v>1.5</v>
      </c>
    </row>
    <row r="39" spans="1:13" x14ac:dyDescent="0.25">
      <c r="A39" s="101" t="s">
        <v>63</v>
      </c>
      <c r="B39" s="102"/>
      <c r="C39" s="103"/>
      <c r="D39" s="4" t="s">
        <v>64</v>
      </c>
      <c r="E39" s="6">
        <v>20</v>
      </c>
      <c r="F39" s="6">
        <v>11.75</v>
      </c>
      <c r="G39" s="6">
        <v>11</v>
      </c>
      <c r="H39" s="6">
        <v>5.25</v>
      </c>
      <c r="I39" s="6">
        <v>10</v>
      </c>
      <c r="J39" s="6">
        <v>5</v>
      </c>
      <c r="K39" s="150">
        <f t="shared" si="0"/>
        <v>1.175</v>
      </c>
      <c r="L39" s="157">
        <f t="shared" si="1"/>
        <v>7.0212765957446805</v>
      </c>
      <c r="M39" s="164">
        <f t="shared" si="2"/>
        <v>8.25</v>
      </c>
    </row>
    <row r="40" spans="1:13" x14ac:dyDescent="0.25">
      <c r="A40" s="101" t="s">
        <v>65</v>
      </c>
      <c r="B40" s="102"/>
      <c r="C40" s="103"/>
      <c r="D40" s="6">
        <v>25</v>
      </c>
      <c r="E40" s="6">
        <v>1.5</v>
      </c>
      <c r="F40" s="6">
        <v>0.25</v>
      </c>
      <c r="G40" s="6">
        <v>1.5</v>
      </c>
      <c r="H40" s="6">
        <v>0.25</v>
      </c>
      <c r="I40" s="6"/>
      <c r="J40" s="6"/>
      <c r="K40" s="150"/>
      <c r="L40" s="157"/>
      <c r="M40" s="164">
        <f t="shared" si="2"/>
        <v>1.25</v>
      </c>
    </row>
    <row r="41" spans="1:13" x14ac:dyDescent="0.25">
      <c r="A41" s="89" t="s">
        <v>66</v>
      </c>
      <c r="B41" s="90"/>
      <c r="C41" s="91"/>
      <c r="D41" s="15">
        <v>26</v>
      </c>
      <c r="E41" s="15">
        <v>3.75</v>
      </c>
      <c r="F41" s="15">
        <v>2.75</v>
      </c>
      <c r="G41" s="15">
        <v>3.75</v>
      </c>
      <c r="H41" s="15">
        <v>2.75</v>
      </c>
      <c r="I41" s="15">
        <v>3</v>
      </c>
      <c r="J41" s="15">
        <v>3</v>
      </c>
      <c r="K41" s="150">
        <f t="shared" si="0"/>
        <v>0.91666666666666663</v>
      </c>
      <c r="L41" s="157">
        <f t="shared" si="1"/>
        <v>1.0909090909090908</v>
      </c>
      <c r="M41" s="164">
        <f t="shared" si="2"/>
        <v>1</v>
      </c>
    </row>
    <row r="42" spans="1:13" x14ac:dyDescent="0.25">
      <c r="A42" s="89" t="s">
        <v>67</v>
      </c>
      <c r="B42" s="90"/>
      <c r="C42" s="91"/>
      <c r="D42" s="6">
        <v>27</v>
      </c>
      <c r="E42" s="6">
        <v>110.5</v>
      </c>
      <c r="F42" s="6">
        <v>87.25</v>
      </c>
      <c r="G42" s="6">
        <v>55.5</v>
      </c>
      <c r="H42" s="6">
        <v>43.75</v>
      </c>
      <c r="I42" s="6">
        <v>60</v>
      </c>
      <c r="J42" s="6">
        <v>27</v>
      </c>
      <c r="K42" s="150">
        <f t="shared" si="0"/>
        <v>1.4541666666666666</v>
      </c>
      <c r="L42" s="157">
        <f t="shared" si="1"/>
        <v>15.988538681948427</v>
      </c>
      <c r="M42" s="164">
        <f t="shared" si="2"/>
        <v>23.25</v>
      </c>
    </row>
    <row r="43" spans="1:13" x14ac:dyDescent="0.25">
      <c r="A43" s="117" t="s">
        <v>68</v>
      </c>
      <c r="B43" s="118"/>
      <c r="C43" s="119"/>
      <c r="D43" s="8">
        <v>28</v>
      </c>
      <c r="E43" s="8">
        <v>4.25</v>
      </c>
      <c r="F43" s="8">
        <v>4</v>
      </c>
      <c r="G43" s="8"/>
      <c r="H43" s="8"/>
      <c r="I43" s="8">
        <v>3</v>
      </c>
      <c r="J43" s="8"/>
      <c r="K43" s="150">
        <f t="shared" si="0"/>
        <v>1.3333333333333333</v>
      </c>
      <c r="L43" s="157">
        <f t="shared" si="1"/>
        <v>0.1875</v>
      </c>
      <c r="M43" s="164">
        <f t="shared" si="2"/>
        <v>0.25</v>
      </c>
    </row>
    <row r="44" spans="1:13" x14ac:dyDescent="0.25">
      <c r="A44" s="117" t="s">
        <v>69</v>
      </c>
      <c r="B44" s="118"/>
      <c r="C44" s="119"/>
      <c r="D44" s="13">
        <v>29</v>
      </c>
      <c r="E44" s="6"/>
      <c r="F44" s="6"/>
      <c r="G44" s="6"/>
      <c r="H44" s="6"/>
      <c r="I44" s="6"/>
      <c r="J44" s="6"/>
      <c r="K44" s="150"/>
      <c r="L44" s="157"/>
      <c r="M44" s="164"/>
    </row>
    <row r="45" spans="1:13" x14ac:dyDescent="0.25">
      <c r="A45" s="114" t="s">
        <v>70</v>
      </c>
      <c r="B45" s="115"/>
      <c r="C45" s="116"/>
      <c r="D45" s="11">
        <v>30</v>
      </c>
      <c r="E45" s="6">
        <v>244</v>
      </c>
      <c r="F45" s="6">
        <v>210.75</v>
      </c>
      <c r="G45" s="6">
        <v>61.25</v>
      </c>
      <c r="H45" s="6">
        <v>48</v>
      </c>
      <c r="I45" s="6">
        <v>134</v>
      </c>
      <c r="J45" s="6">
        <v>31</v>
      </c>
      <c r="K45" s="150">
        <f t="shared" si="0"/>
        <v>1.5727611940298507</v>
      </c>
      <c r="L45" s="157">
        <f t="shared" si="1"/>
        <v>21.141162514828011</v>
      </c>
      <c r="M45" s="164">
        <f t="shared" si="2"/>
        <v>33.25</v>
      </c>
    </row>
    <row r="46" spans="1:13" x14ac:dyDescent="0.25">
      <c r="A46" s="101" t="s">
        <v>71</v>
      </c>
      <c r="B46" s="102"/>
      <c r="C46" s="103"/>
      <c r="D46" s="16" t="s">
        <v>72</v>
      </c>
      <c r="E46" s="6">
        <v>140.75</v>
      </c>
      <c r="F46" s="6">
        <v>117</v>
      </c>
      <c r="G46" s="6">
        <v>53</v>
      </c>
      <c r="H46" s="6">
        <v>41.75</v>
      </c>
      <c r="I46" s="6">
        <v>81</v>
      </c>
      <c r="J46" s="6">
        <v>29</v>
      </c>
      <c r="K46" s="150">
        <f t="shared" si="0"/>
        <v>1.4444444444444444</v>
      </c>
      <c r="L46" s="157">
        <f t="shared" si="1"/>
        <v>16.442307692307693</v>
      </c>
      <c r="M46" s="164">
        <f t="shared" si="2"/>
        <v>23.75</v>
      </c>
    </row>
    <row r="47" spans="1:13" x14ac:dyDescent="0.25">
      <c r="A47" s="101" t="s">
        <v>73</v>
      </c>
      <c r="B47" s="102"/>
      <c r="C47" s="103"/>
      <c r="D47" s="4" t="s">
        <v>74</v>
      </c>
      <c r="E47" s="6">
        <v>15.25</v>
      </c>
      <c r="F47" s="6">
        <v>15</v>
      </c>
      <c r="G47" s="6"/>
      <c r="H47" s="6"/>
      <c r="I47" s="6">
        <v>9</v>
      </c>
      <c r="J47" s="6"/>
      <c r="K47" s="150">
        <f t="shared" si="0"/>
        <v>1.6666666666666667</v>
      </c>
      <c r="L47" s="157">
        <f t="shared" si="1"/>
        <v>0.15000000000000036</v>
      </c>
      <c r="M47" s="164">
        <f t="shared" si="2"/>
        <v>0.25</v>
      </c>
    </row>
    <row r="48" spans="1:13" x14ac:dyDescent="0.25">
      <c r="A48" s="101" t="s">
        <v>75</v>
      </c>
      <c r="B48" s="102"/>
      <c r="C48" s="103"/>
      <c r="D48" s="16" t="s">
        <v>76</v>
      </c>
      <c r="E48" s="6">
        <v>16.75</v>
      </c>
      <c r="F48" s="6">
        <v>15.5</v>
      </c>
      <c r="G48" s="6">
        <v>3.75</v>
      </c>
      <c r="H48" s="6">
        <v>3.25</v>
      </c>
      <c r="I48" s="6">
        <v>6</v>
      </c>
      <c r="J48" s="6"/>
      <c r="K48" s="150">
        <f t="shared" si="0"/>
        <v>2.5833333333333335</v>
      </c>
      <c r="L48" s="157">
        <f t="shared" si="1"/>
        <v>0.48387096774193505</v>
      </c>
      <c r="M48" s="164">
        <f t="shared" si="2"/>
        <v>1.25</v>
      </c>
    </row>
    <row r="49" spans="1:13" x14ac:dyDescent="0.25">
      <c r="A49" s="101" t="s">
        <v>77</v>
      </c>
      <c r="B49" s="102"/>
      <c r="C49" s="103"/>
      <c r="D49" s="4" t="s">
        <v>78</v>
      </c>
      <c r="E49" s="6">
        <v>3.75</v>
      </c>
      <c r="F49" s="6">
        <v>2.75</v>
      </c>
      <c r="G49" s="6"/>
      <c r="H49" s="6"/>
      <c r="I49" s="6">
        <v>3</v>
      </c>
      <c r="J49" s="6"/>
      <c r="K49" s="150">
        <f t="shared" si="0"/>
        <v>0.91666666666666663</v>
      </c>
      <c r="L49" s="157">
        <f t="shared" si="1"/>
        <v>1.0909090909090908</v>
      </c>
      <c r="M49" s="164">
        <f t="shared" si="2"/>
        <v>1</v>
      </c>
    </row>
    <row r="50" spans="1:13" x14ac:dyDescent="0.25">
      <c r="A50" s="101" t="s">
        <v>79</v>
      </c>
      <c r="B50" s="102"/>
      <c r="C50" s="103"/>
      <c r="D50" s="13">
        <v>31</v>
      </c>
      <c r="E50" s="6">
        <v>79.75</v>
      </c>
      <c r="F50" s="6">
        <v>69.5</v>
      </c>
      <c r="G50" s="6">
        <v>23.5</v>
      </c>
      <c r="H50" s="6">
        <v>21.5</v>
      </c>
      <c r="I50" s="6">
        <v>55</v>
      </c>
      <c r="J50" s="6">
        <v>13</v>
      </c>
      <c r="K50" s="150">
        <f t="shared" si="0"/>
        <v>1.2636363636363637</v>
      </c>
      <c r="L50" s="157">
        <f t="shared" si="1"/>
        <v>8.1115107913669036</v>
      </c>
      <c r="M50" s="164">
        <f t="shared" si="2"/>
        <v>10.25</v>
      </c>
    </row>
    <row r="51" spans="1:13" x14ac:dyDescent="0.25">
      <c r="A51" s="101" t="s">
        <v>80</v>
      </c>
      <c r="B51" s="102"/>
      <c r="C51" s="103"/>
      <c r="D51" s="11">
        <v>32</v>
      </c>
      <c r="E51" s="6">
        <v>42.25</v>
      </c>
      <c r="F51" s="6">
        <v>34.75</v>
      </c>
      <c r="G51" s="6">
        <v>0.5</v>
      </c>
      <c r="H51" s="6"/>
      <c r="I51" s="6">
        <v>29</v>
      </c>
      <c r="J51" s="6"/>
      <c r="K51" s="150">
        <f t="shared" si="0"/>
        <v>1.1982758620689655</v>
      </c>
      <c r="L51" s="157">
        <f t="shared" si="1"/>
        <v>6.2589928057553976</v>
      </c>
      <c r="M51" s="164">
        <f t="shared" si="2"/>
        <v>7.5</v>
      </c>
    </row>
    <row r="52" spans="1:13" x14ac:dyDescent="0.25">
      <c r="A52" s="101" t="s">
        <v>81</v>
      </c>
      <c r="B52" s="102"/>
      <c r="C52" s="103"/>
      <c r="D52" s="13">
        <v>33</v>
      </c>
      <c r="E52" s="6">
        <v>17.25</v>
      </c>
      <c r="F52" s="6">
        <v>13.25</v>
      </c>
      <c r="G52" s="6"/>
      <c r="H52" s="6"/>
      <c r="I52" s="6">
        <v>12</v>
      </c>
      <c r="J52" s="6"/>
      <c r="K52" s="150">
        <f t="shared" si="0"/>
        <v>1.1041666666666667</v>
      </c>
      <c r="L52" s="157">
        <f t="shared" si="1"/>
        <v>3.6226415094339615</v>
      </c>
      <c r="M52" s="164">
        <f t="shared" si="2"/>
        <v>4</v>
      </c>
    </row>
    <row r="53" spans="1:13" x14ac:dyDescent="0.25">
      <c r="A53" s="101" t="s">
        <v>82</v>
      </c>
      <c r="B53" s="102"/>
      <c r="C53" s="103"/>
      <c r="D53" s="11">
        <v>34</v>
      </c>
      <c r="E53" s="6">
        <v>40.25</v>
      </c>
      <c r="F53" s="6">
        <v>31.5</v>
      </c>
      <c r="G53" s="6">
        <v>8.5</v>
      </c>
      <c r="H53" s="6">
        <v>4.5</v>
      </c>
      <c r="I53" s="6">
        <v>19</v>
      </c>
      <c r="J53" s="6">
        <v>2</v>
      </c>
      <c r="K53" s="150">
        <f t="shared" si="0"/>
        <v>1.6578947368421053</v>
      </c>
      <c r="L53" s="157">
        <f t="shared" si="1"/>
        <v>5.2777777777777786</v>
      </c>
      <c r="M53" s="164">
        <f t="shared" si="2"/>
        <v>8.75</v>
      </c>
    </row>
    <row r="54" spans="1:13" x14ac:dyDescent="0.25">
      <c r="A54" s="101" t="s">
        <v>83</v>
      </c>
      <c r="B54" s="102"/>
      <c r="C54" s="103"/>
      <c r="D54" s="11">
        <v>35</v>
      </c>
      <c r="E54" s="6">
        <v>0.25</v>
      </c>
      <c r="F54" s="6">
        <v>0.25</v>
      </c>
      <c r="G54" s="6">
        <v>0.25</v>
      </c>
      <c r="H54" s="6">
        <v>0.25</v>
      </c>
      <c r="I54" s="6"/>
      <c r="J54" s="6"/>
      <c r="K54" s="150"/>
      <c r="L54" s="157"/>
      <c r="M54" s="164"/>
    </row>
    <row r="55" spans="1:13" x14ac:dyDescent="0.25">
      <c r="A55" s="101" t="s">
        <v>84</v>
      </c>
      <c r="B55" s="102"/>
      <c r="C55" s="103"/>
      <c r="D55" s="11">
        <v>36</v>
      </c>
      <c r="E55" s="6">
        <v>154.5</v>
      </c>
      <c r="F55" s="6">
        <v>142</v>
      </c>
      <c r="G55" s="6">
        <v>31.75</v>
      </c>
      <c r="H55" s="6">
        <v>25</v>
      </c>
      <c r="I55" s="6">
        <v>105</v>
      </c>
      <c r="J55" s="6">
        <v>15</v>
      </c>
      <c r="K55" s="150">
        <f t="shared" si="0"/>
        <v>1.3523809523809525</v>
      </c>
      <c r="L55" s="157">
        <f t="shared" si="1"/>
        <v>9.242957746478865</v>
      </c>
      <c r="M55" s="164">
        <f t="shared" si="2"/>
        <v>12.5</v>
      </c>
    </row>
    <row r="56" spans="1:13" x14ac:dyDescent="0.25">
      <c r="A56" s="101" t="s">
        <v>85</v>
      </c>
      <c r="B56" s="102"/>
      <c r="C56" s="103"/>
      <c r="D56" s="13" t="s">
        <v>86</v>
      </c>
      <c r="E56" s="6">
        <v>3.5</v>
      </c>
      <c r="F56" s="6">
        <v>3.5</v>
      </c>
      <c r="G56" s="6"/>
      <c r="H56" s="6"/>
      <c r="I56" s="6">
        <v>3</v>
      </c>
      <c r="J56" s="6"/>
      <c r="K56" s="150">
        <f t="shared" si="0"/>
        <v>1.1666666666666667</v>
      </c>
      <c r="L56" s="157"/>
      <c r="M56" s="164"/>
    </row>
    <row r="57" spans="1:13" x14ac:dyDescent="0.25">
      <c r="A57" s="101" t="s">
        <v>87</v>
      </c>
      <c r="B57" s="102"/>
      <c r="C57" s="103"/>
      <c r="D57" s="11">
        <v>37</v>
      </c>
      <c r="E57" s="6">
        <v>55.75</v>
      </c>
      <c r="F57" s="6">
        <v>46</v>
      </c>
      <c r="G57" s="6">
        <v>16</v>
      </c>
      <c r="H57" s="6">
        <v>11.75</v>
      </c>
      <c r="I57" s="6">
        <v>35</v>
      </c>
      <c r="J57" s="6">
        <v>7</v>
      </c>
      <c r="K57" s="150">
        <f t="shared" si="0"/>
        <v>1.3142857142857143</v>
      </c>
      <c r="L57" s="157">
        <f t="shared" si="1"/>
        <v>7.4184782608695627</v>
      </c>
      <c r="M57" s="164">
        <f t="shared" si="2"/>
        <v>9.75</v>
      </c>
    </row>
    <row r="58" spans="1:13" x14ac:dyDescent="0.25">
      <c r="A58" s="101" t="s">
        <v>88</v>
      </c>
      <c r="B58" s="102"/>
      <c r="C58" s="103"/>
      <c r="D58" s="6" t="s">
        <v>89</v>
      </c>
      <c r="E58" s="6">
        <v>3.75</v>
      </c>
      <c r="F58" s="6">
        <v>3</v>
      </c>
      <c r="G58" s="6"/>
      <c r="H58" s="6"/>
      <c r="I58" s="6">
        <v>3</v>
      </c>
      <c r="J58" s="6"/>
      <c r="K58" s="150">
        <f t="shared" si="0"/>
        <v>1</v>
      </c>
      <c r="L58" s="157">
        <f t="shared" si="1"/>
        <v>0.75</v>
      </c>
      <c r="M58" s="164">
        <f t="shared" si="2"/>
        <v>0.75</v>
      </c>
    </row>
    <row r="59" spans="1:13" x14ac:dyDescent="0.25">
      <c r="A59" s="101" t="s">
        <v>90</v>
      </c>
      <c r="B59" s="102"/>
      <c r="C59" s="103"/>
      <c r="D59" s="6">
        <v>38</v>
      </c>
      <c r="E59" s="6">
        <v>76</v>
      </c>
      <c r="F59" s="6">
        <v>68</v>
      </c>
      <c r="G59" s="6">
        <v>21.75</v>
      </c>
      <c r="H59" s="6">
        <v>19.75</v>
      </c>
      <c r="I59" s="6">
        <v>57</v>
      </c>
      <c r="J59" s="6">
        <v>18</v>
      </c>
      <c r="K59" s="150">
        <f t="shared" si="0"/>
        <v>1.1929824561403508</v>
      </c>
      <c r="L59" s="157">
        <f t="shared" si="1"/>
        <v>6.7058823529411811</v>
      </c>
      <c r="M59" s="164">
        <f t="shared" si="2"/>
        <v>8</v>
      </c>
    </row>
    <row r="60" spans="1:13" x14ac:dyDescent="0.25">
      <c r="A60" s="101" t="s">
        <v>91</v>
      </c>
      <c r="B60" s="102"/>
      <c r="C60" s="103"/>
      <c r="D60" s="6" t="s">
        <v>92</v>
      </c>
      <c r="E60" s="6"/>
      <c r="F60" s="6"/>
      <c r="G60" s="6"/>
      <c r="H60" s="6"/>
      <c r="I60" s="6"/>
      <c r="J60" s="6"/>
      <c r="K60" s="150"/>
      <c r="L60" s="157"/>
      <c r="M60" s="164"/>
    </row>
    <row r="61" spans="1:13" x14ac:dyDescent="0.25">
      <c r="A61" s="101" t="s">
        <v>93</v>
      </c>
      <c r="B61" s="102"/>
      <c r="C61" s="103"/>
      <c r="D61" s="6">
        <v>39</v>
      </c>
      <c r="E61" s="6">
        <v>14.75</v>
      </c>
      <c r="F61" s="6">
        <v>14.25</v>
      </c>
      <c r="G61" s="6">
        <v>4.5</v>
      </c>
      <c r="H61" s="6">
        <v>4.25</v>
      </c>
      <c r="I61" s="6">
        <v>12</v>
      </c>
      <c r="J61" s="6">
        <v>2</v>
      </c>
      <c r="K61" s="150">
        <f t="shared" si="0"/>
        <v>1.1875</v>
      </c>
      <c r="L61" s="157">
        <f t="shared" si="1"/>
        <v>0.4210526315789469</v>
      </c>
      <c r="M61" s="164">
        <f t="shared" si="2"/>
        <v>0.5</v>
      </c>
    </row>
    <row r="62" spans="1:13" x14ac:dyDescent="0.25">
      <c r="A62" s="101" t="s">
        <v>94</v>
      </c>
      <c r="B62" s="102"/>
      <c r="C62" s="103"/>
      <c r="D62" s="6">
        <v>40</v>
      </c>
      <c r="E62" s="6">
        <v>88.25</v>
      </c>
      <c r="F62" s="6">
        <v>81.75</v>
      </c>
      <c r="G62" s="6">
        <v>2.5</v>
      </c>
      <c r="H62" s="6">
        <v>2.5</v>
      </c>
      <c r="I62" s="6">
        <v>54</v>
      </c>
      <c r="J62" s="6"/>
      <c r="K62" s="150">
        <f t="shared" si="0"/>
        <v>1.5138888888888888</v>
      </c>
      <c r="L62" s="157">
        <f t="shared" si="1"/>
        <v>4.2935779816513815</v>
      </c>
      <c r="M62" s="164">
        <f t="shared" si="2"/>
        <v>6.5</v>
      </c>
    </row>
    <row r="63" spans="1:13" x14ac:dyDescent="0.25">
      <c r="A63" s="101" t="s">
        <v>95</v>
      </c>
      <c r="B63" s="102"/>
      <c r="C63" s="103"/>
      <c r="D63" s="6">
        <v>41</v>
      </c>
      <c r="E63" s="6">
        <v>18</v>
      </c>
      <c r="F63" s="6">
        <v>12.75</v>
      </c>
      <c r="G63" s="6">
        <v>1</v>
      </c>
      <c r="H63" s="6">
        <v>0.25</v>
      </c>
      <c r="I63" s="6">
        <v>7</v>
      </c>
      <c r="J63" s="6"/>
      <c r="K63" s="150">
        <f t="shared" si="0"/>
        <v>1.8214285714285714</v>
      </c>
      <c r="L63" s="157">
        <f t="shared" si="1"/>
        <v>2.882352941176471</v>
      </c>
      <c r="M63" s="164">
        <f t="shared" si="2"/>
        <v>5.25</v>
      </c>
    </row>
    <row r="64" spans="1:13" x14ac:dyDescent="0.25">
      <c r="A64" s="101" t="s">
        <v>96</v>
      </c>
      <c r="B64" s="102"/>
      <c r="C64" s="103"/>
      <c r="D64" s="6">
        <v>42</v>
      </c>
      <c r="E64" s="6">
        <v>393</v>
      </c>
      <c r="F64" s="6">
        <v>318</v>
      </c>
      <c r="G64" s="6">
        <v>4.5</v>
      </c>
      <c r="H64" s="6">
        <v>3.5</v>
      </c>
      <c r="I64" s="6">
        <v>200</v>
      </c>
      <c r="J64" s="6">
        <v>2</v>
      </c>
      <c r="K64" s="150">
        <f t="shared" si="0"/>
        <v>1.59</v>
      </c>
      <c r="L64" s="157">
        <f t="shared" si="1"/>
        <v>47.169811320754718</v>
      </c>
      <c r="M64" s="164">
        <f t="shared" si="2"/>
        <v>75</v>
      </c>
    </row>
    <row r="65" spans="1:13" x14ac:dyDescent="0.25">
      <c r="A65" s="101" t="s">
        <v>97</v>
      </c>
      <c r="B65" s="102"/>
      <c r="C65" s="103"/>
      <c r="D65" s="6">
        <v>43</v>
      </c>
      <c r="E65" s="6">
        <v>134.5</v>
      </c>
      <c r="F65" s="6">
        <v>105</v>
      </c>
      <c r="G65" s="6">
        <v>2</v>
      </c>
      <c r="H65" s="6">
        <v>0.25</v>
      </c>
      <c r="I65" s="6">
        <v>64</v>
      </c>
      <c r="J65" s="6"/>
      <c r="K65" s="150">
        <f t="shared" si="0"/>
        <v>1.640625</v>
      </c>
      <c r="L65" s="157">
        <f t="shared" si="1"/>
        <v>17.980952380952374</v>
      </c>
      <c r="M65" s="164">
        <f t="shared" si="2"/>
        <v>29.5</v>
      </c>
    </row>
    <row r="66" spans="1:13" x14ac:dyDescent="0.25">
      <c r="A66" s="101" t="s">
        <v>98</v>
      </c>
      <c r="B66" s="102"/>
      <c r="C66" s="103"/>
      <c r="D66" s="6">
        <v>44</v>
      </c>
      <c r="E66" s="6">
        <v>2.5</v>
      </c>
      <c r="F66" s="6">
        <v>2.5</v>
      </c>
      <c r="G66" s="6"/>
      <c r="H66" s="6"/>
      <c r="I66" s="6">
        <v>2</v>
      </c>
      <c r="J66" s="6"/>
      <c r="K66" s="150">
        <f t="shared" si="0"/>
        <v>1.25</v>
      </c>
      <c r="L66" s="157"/>
      <c r="M66" s="164"/>
    </row>
    <row r="67" spans="1:13" x14ac:dyDescent="0.25">
      <c r="A67" s="101" t="s">
        <v>99</v>
      </c>
      <c r="B67" s="102"/>
      <c r="C67" s="103"/>
      <c r="D67" s="6">
        <v>45</v>
      </c>
      <c r="E67" s="6">
        <v>65</v>
      </c>
      <c r="F67" s="6">
        <v>58</v>
      </c>
      <c r="G67" s="6">
        <v>24.5</v>
      </c>
      <c r="H67" s="6">
        <v>21.5</v>
      </c>
      <c r="I67" s="6">
        <v>33</v>
      </c>
      <c r="J67" s="6">
        <v>13</v>
      </c>
      <c r="K67" s="150">
        <f t="shared" si="0"/>
        <v>1.7575757575757576</v>
      </c>
      <c r="L67" s="157">
        <f t="shared" si="1"/>
        <v>3.9827586206896584</v>
      </c>
      <c r="M67" s="164">
        <f t="shared" si="2"/>
        <v>7</v>
      </c>
    </row>
    <row r="68" spans="1:13" x14ac:dyDescent="0.25">
      <c r="A68" s="101" t="s">
        <v>100</v>
      </c>
      <c r="B68" s="102"/>
      <c r="C68" s="103"/>
      <c r="D68" s="6">
        <v>46</v>
      </c>
      <c r="E68" s="6">
        <v>4</v>
      </c>
      <c r="F68" s="6">
        <v>3</v>
      </c>
      <c r="G68" s="6">
        <v>0.5</v>
      </c>
      <c r="H68" s="6">
        <v>0.25</v>
      </c>
      <c r="I68" s="6">
        <v>1</v>
      </c>
      <c r="J68" s="6"/>
      <c r="K68" s="150">
        <f t="shared" si="0"/>
        <v>3</v>
      </c>
      <c r="L68" s="157">
        <f t="shared" si="1"/>
        <v>0.33333333333333326</v>
      </c>
      <c r="M68" s="164">
        <f t="shared" si="2"/>
        <v>1</v>
      </c>
    </row>
    <row r="69" spans="1:13" x14ac:dyDescent="0.25">
      <c r="A69" s="101" t="s">
        <v>101</v>
      </c>
      <c r="B69" s="102"/>
      <c r="C69" s="103"/>
      <c r="D69" s="6">
        <v>47</v>
      </c>
      <c r="E69" s="6">
        <v>87</v>
      </c>
      <c r="F69" s="6">
        <v>70.75</v>
      </c>
      <c r="G69" s="6">
        <v>52.5</v>
      </c>
      <c r="H69" s="6">
        <v>44.75</v>
      </c>
      <c r="I69" s="6">
        <v>51</v>
      </c>
      <c r="J69" s="6">
        <v>31</v>
      </c>
      <c r="K69" s="150">
        <f t="shared" si="0"/>
        <v>1.3872549019607843</v>
      </c>
      <c r="L69" s="157">
        <f t="shared" si="1"/>
        <v>11.71378091872792</v>
      </c>
      <c r="M69" s="164">
        <f t="shared" si="2"/>
        <v>16.25</v>
      </c>
    </row>
    <row r="70" spans="1:13" x14ac:dyDescent="0.25">
      <c r="A70" s="101" t="s">
        <v>102</v>
      </c>
      <c r="B70" s="102"/>
      <c r="C70" s="103"/>
      <c r="D70" s="6" t="s">
        <v>103</v>
      </c>
      <c r="E70" s="6">
        <v>17.25</v>
      </c>
      <c r="F70" s="6">
        <v>14.25</v>
      </c>
      <c r="G70" s="6">
        <v>16.75</v>
      </c>
      <c r="H70" s="6">
        <v>14</v>
      </c>
      <c r="I70" s="6">
        <v>10</v>
      </c>
      <c r="J70" s="6">
        <v>10</v>
      </c>
      <c r="K70" s="150">
        <f t="shared" ref="K70:K133" si="3">F70/I70</f>
        <v>1.425</v>
      </c>
      <c r="L70" s="157">
        <f t="shared" ref="L70:L133" si="4">E70/K70-I70</f>
        <v>2.1052631578947363</v>
      </c>
      <c r="M70" s="164">
        <f t="shared" ref="M70:M133" si="5">E70-F70</f>
        <v>3</v>
      </c>
    </row>
    <row r="71" spans="1:13" x14ac:dyDescent="0.25">
      <c r="A71" s="101" t="s">
        <v>104</v>
      </c>
      <c r="B71" s="102"/>
      <c r="C71" s="103"/>
      <c r="D71" s="1">
        <v>48</v>
      </c>
      <c r="E71" s="6">
        <v>10</v>
      </c>
      <c r="F71" s="6">
        <v>10</v>
      </c>
      <c r="G71" s="6">
        <v>1</v>
      </c>
      <c r="H71" s="6">
        <v>1</v>
      </c>
      <c r="I71" s="6">
        <v>10</v>
      </c>
      <c r="J71" s="6"/>
      <c r="K71" s="150">
        <f t="shared" si="3"/>
        <v>1</v>
      </c>
      <c r="L71" s="157"/>
      <c r="M71" s="164"/>
    </row>
    <row r="72" spans="1:13" x14ac:dyDescent="0.25">
      <c r="A72" s="101" t="s">
        <v>105</v>
      </c>
      <c r="B72" s="102"/>
      <c r="C72" s="103"/>
      <c r="D72" s="6">
        <v>49</v>
      </c>
      <c r="E72" s="1">
        <v>15.5</v>
      </c>
      <c r="F72" s="6">
        <v>13.25</v>
      </c>
      <c r="G72" s="1">
        <v>2</v>
      </c>
      <c r="H72" s="6">
        <v>1.5</v>
      </c>
      <c r="I72" s="6">
        <v>10</v>
      </c>
      <c r="J72" s="6"/>
      <c r="K72" s="150">
        <f t="shared" si="3"/>
        <v>1.325</v>
      </c>
      <c r="L72" s="157">
        <f t="shared" si="4"/>
        <v>1.6981132075471699</v>
      </c>
      <c r="M72" s="164">
        <f t="shared" si="5"/>
        <v>2.25</v>
      </c>
    </row>
    <row r="73" spans="1:13" x14ac:dyDescent="0.25">
      <c r="A73" s="105" t="s">
        <v>106</v>
      </c>
      <c r="B73" s="106"/>
      <c r="C73" s="107"/>
      <c r="D73" s="8">
        <v>50</v>
      </c>
      <c r="E73" s="17">
        <v>37.75</v>
      </c>
      <c r="F73" s="8">
        <v>29.5</v>
      </c>
      <c r="G73" s="17">
        <v>35.25</v>
      </c>
      <c r="H73" s="8">
        <v>28.25</v>
      </c>
      <c r="I73" s="8">
        <v>29</v>
      </c>
      <c r="J73" s="8">
        <v>27</v>
      </c>
      <c r="K73" s="150">
        <f t="shared" si="3"/>
        <v>1.0172413793103448</v>
      </c>
      <c r="L73" s="157">
        <f t="shared" si="4"/>
        <v>8.1101694915254257</v>
      </c>
      <c r="M73" s="164">
        <f t="shared" si="5"/>
        <v>8.25</v>
      </c>
    </row>
    <row r="74" spans="1:13" x14ac:dyDescent="0.25">
      <c r="A74" s="105" t="s">
        <v>107</v>
      </c>
      <c r="B74" s="106"/>
      <c r="C74" s="107"/>
      <c r="D74" s="6">
        <v>51</v>
      </c>
      <c r="E74" s="6">
        <v>46.5</v>
      </c>
      <c r="F74" s="6">
        <v>42.25</v>
      </c>
      <c r="G74" s="6">
        <v>46.5</v>
      </c>
      <c r="H74" s="6">
        <v>42.25</v>
      </c>
      <c r="I74" s="6">
        <v>39</v>
      </c>
      <c r="J74" s="6">
        <v>39</v>
      </c>
      <c r="K74" s="150">
        <f t="shared" si="3"/>
        <v>1.0833333333333333</v>
      </c>
      <c r="L74" s="157">
        <f t="shared" si="4"/>
        <v>3.9230769230769269</v>
      </c>
      <c r="M74" s="164">
        <f t="shared" si="5"/>
        <v>4.25</v>
      </c>
    </row>
    <row r="75" spans="1:13" x14ac:dyDescent="0.25">
      <c r="A75" s="101" t="s">
        <v>108</v>
      </c>
      <c r="B75" s="102"/>
      <c r="C75" s="103"/>
      <c r="D75" s="6">
        <v>52</v>
      </c>
      <c r="E75" s="6">
        <v>11.25</v>
      </c>
      <c r="F75" s="6">
        <v>10.5</v>
      </c>
      <c r="G75" s="6">
        <v>0.25</v>
      </c>
      <c r="H75" s="6">
        <v>0.25</v>
      </c>
      <c r="I75" s="6">
        <v>9</v>
      </c>
      <c r="J75" s="6"/>
      <c r="K75" s="150">
        <f t="shared" si="3"/>
        <v>1.1666666666666667</v>
      </c>
      <c r="L75" s="157">
        <f t="shared" si="4"/>
        <v>0.64285714285714235</v>
      </c>
      <c r="M75" s="164">
        <f t="shared" si="5"/>
        <v>0.75</v>
      </c>
    </row>
    <row r="76" spans="1:13" x14ac:dyDescent="0.25">
      <c r="A76" s="101" t="s">
        <v>109</v>
      </c>
      <c r="B76" s="102"/>
      <c r="C76" s="103"/>
      <c r="D76" s="6">
        <v>53</v>
      </c>
      <c r="E76" s="6">
        <v>11.75</v>
      </c>
      <c r="F76" s="6">
        <v>11.75</v>
      </c>
      <c r="G76" s="6">
        <v>1</v>
      </c>
      <c r="H76" s="6">
        <v>1</v>
      </c>
      <c r="I76" s="6">
        <v>11</v>
      </c>
      <c r="J76" s="6"/>
      <c r="K76" s="150">
        <f t="shared" si="3"/>
        <v>1.0681818181818181</v>
      </c>
      <c r="L76" s="157"/>
      <c r="M76" s="164"/>
    </row>
    <row r="77" spans="1:13" x14ac:dyDescent="0.25">
      <c r="A77" s="101" t="s">
        <v>110</v>
      </c>
      <c r="B77" s="102"/>
      <c r="C77" s="103"/>
      <c r="D77" s="6">
        <v>54</v>
      </c>
      <c r="E77" s="6">
        <v>63.25</v>
      </c>
      <c r="F77" s="6">
        <v>53</v>
      </c>
      <c r="G77" s="6">
        <v>1</v>
      </c>
      <c r="H77" s="6">
        <v>0.75</v>
      </c>
      <c r="I77" s="6">
        <v>32</v>
      </c>
      <c r="J77" s="6">
        <v>1</v>
      </c>
      <c r="K77" s="150">
        <f t="shared" si="3"/>
        <v>1.65625</v>
      </c>
      <c r="L77" s="157">
        <f t="shared" si="4"/>
        <v>6.1886792452830193</v>
      </c>
      <c r="M77" s="164">
        <f t="shared" si="5"/>
        <v>10.25</v>
      </c>
    </row>
    <row r="78" spans="1:13" x14ac:dyDescent="0.25">
      <c r="A78" s="101" t="s">
        <v>111</v>
      </c>
      <c r="B78" s="102"/>
      <c r="C78" s="103"/>
      <c r="D78" s="6">
        <v>55</v>
      </c>
      <c r="E78" s="6">
        <v>17.75</v>
      </c>
      <c r="F78" s="6">
        <v>8.5</v>
      </c>
      <c r="G78" s="6"/>
      <c r="H78" s="6"/>
      <c r="I78" s="6">
        <v>6</v>
      </c>
      <c r="J78" s="6"/>
      <c r="K78" s="150">
        <f t="shared" si="3"/>
        <v>1.4166666666666667</v>
      </c>
      <c r="L78" s="157">
        <f t="shared" si="4"/>
        <v>6.5294117647058822</v>
      </c>
      <c r="M78" s="164">
        <f t="shared" si="5"/>
        <v>9.25</v>
      </c>
    </row>
    <row r="79" spans="1:13" x14ac:dyDescent="0.25">
      <c r="A79" s="101" t="s">
        <v>112</v>
      </c>
      <c r="B79" s="102"/>
      <c r="C79" s="103"/>
      <c r="D79" s="6">
        <v>56</v>
      </c>
      <c r="E79" s="6">
        <v>463.5</v>
      </c>
      <c r="F79" s="6">
        <v>383.5</v>
      </c>
      <c r="G79" s="6">
        <v>188.75</v>
      </c>
      <c r="H79" s="6">
        <v>161.75</v>
      </c>
      <c r="I79" s="6">
        <v>297</v>
      </c>
      <c r="J79" s="6">
        <v>130</v>
      </c>
      <c r="K79" s="150">
        <f t="shared" si="3"/>
        <v>1.2912457912457913</v>
      </c>
      <c r="L79" s="157">
        <f t="shared" si="4"/>
        <v>61.955671447196835</v>
      </c>
      <c r="M79" s="164">
        <f t="shared" si="5"/>
        <v>80</v>
      </c>
    </row>
    <row r="80" spans="1:13" x14ac:dyDescent="0.25">
      <c r="A80" s="101" t="s">
        <v>113</v>
      </c>
      <c r="B80" s="102"/>
      <c r="C80" s="103"/>
      <c r="D80" s="6" t="s">
        <v>114</v>
      </c>
      <c r="E80" s="6">
        <v>4.75</v>
      </c>
      <c r="F80" s="6">
        <v>3</v>
      </c>
      <c r="G80" s="6">
        <v>4</v>
      </c>
      <c r="H80" s="6">
        <v>3</v>
      </c>
      <c r="I80" s="6">
        <v>2</v>
      </c>
      <c r="J80" s="6">
        <v>2</v>
      </c>
      <c r="K80" s="150">
        <f t="shared" si="3"/>
        <v>1.5</v>
      </c>
      <c r="L80" s="157">
        <f t="shared" si="4"/>
        <v>1.1666666666666665</v>
      </c>
      <c r="M80" s="164">
        <f t="shared" si="5"/>
        <v>1.75</v>
      </c>
    </row>
    <row r="81" spans="1:13" x14ac:dyDescent="0.25">
      <c r="A81" s="101" t="s">
        <v>115</v>
      </c>
      <c r="B81" s="102"/>
      <c r="C81" s="103"/>
      <c r="D81" s="6">
        <v>57</v>
      </c>
      <c r="E81" s="6">
        <v>322.25</v>
      </c>
      <c r="F81" s="6">
        <v>259</v>
      </c>
      <c r="G81" s="6">
        <v>224.75</v>
      </c>
      <c r="H81" s="6">
        <v>190</v>
      </c>
      <c r="I81" s="6">
        <v>228</v>
      </c>
      <c r="J81" s="6">
        <v>174</v>
      </c>
      <c r="K81" s="150">
        <f t="shared" si="3"/>
        <v>1.1359649122807018</v>
      </c>
      <c r="L81" s="157">
        <f t="shared" si="4"/>
        <v>55.679536679536682</v>
      </c>
      <c r="M81" s="164">
        <f t="shared" si="5"/>
        <v>63.25</v>
      </c>
    </row>
    <row r="82" spans="1:13" x14ac:dyDescent="0.25">
      <c r="A82" s="101" t="s">
        <v>116</v>
      </c>
      <c r="B82" s="102"/>
      <c r="C82" s="103"/>
      <c r="D82" s="6" t="s">
        <v>117</v>
      </c>
      <c r="E82" s="6">
        <v>101.75</v>
      </c>
      <c r="F82" s="6">
        <v>99.25</v>
      </c>
      <c r="G82" s="6">
        <v>101.75</v>
      </c>
      <c r="H82" s="6">
        <v>99.25</v>
      </c>
      <c r="I82" s="6">
        <v>97</v>
      </c>
      <c r="J82" s="6">
        <v>97</v>
      </c>
      <c r="K82" s="150">
        <f t="shared" si="3"/>
        <v>1.0231958762886597</v>
      </c>
      <c r="L82" s="157">
        <f t="shared" si="4"/>
        <v>2.443324937027711</v>
      </c>
      <c r="M82" s="164">
        <f t="shared" si="5"/>
        <v>2.5</v>
      </c>
    </row>
    <row r="83" spans="1:13" x14ac:dyDescent="0.25">
      <c r="A83" s="101" t="s">
        <v>118</v>
      </c>
      <c r="B83" s="102"/>
      <c r="C83" s="103"/>
      <c r="D83" s="6">
        <v>58</v>
      </c>
      <c r="E83" s="6">
        <v>191.25</v>
      </c>
      <c r="F83" s="6">
        <v>160.5</v>
      </c>
      <c r="G83" s="6">
        <v>0.5</v>
      </c>
      <c r="H83" s="6">
        <v>0.25</v>
      </c>
      <c r="I83" s="6">
        <v>105</v>
      </c>
      <c r="J83" s="6"/>
      <c r="K83" s="150">
        <f t="shared" si="3"/>
        <v>1.5285714285714285</v>
      </c>
      <c r="L83" s="157">
        <f t="shared" si="4"/>
        <v>20.116822429906549</v>
      </c>
      <c r="M83" s="164">
        <f t="shared" si="5"/>
        <v>30.75</v>
      </c>
    </row>
    <row r="84" spans="1:13" x14ac:dyDescent="0.25">
      <c r="A84" s="101" t="s">
        <v>119</v>
      </c>
      <c r="B84" s="102"/>
      <c r="C84" s="103"/>
      <c r="D84" s="6">
        <v>59</v>
      </c>
      <c r="E84" s="6">
        <v>83.75</v>
      </c>
      <c r="F84" s="6">
        <v>73.75</v>
      </c>
      <c r="G84" s="6">
        <v>47.5</v>
      </c>
      <c r="H84" s="6">
        <v>44.25</v>
      </c>
      <c r="I84" s="6">
        <v>54</v>
      </c>
      <c r="J84" s="6">
        <v>36</v>
      </c>
      <c r="K84" s="150">
        <f t="shared" si="3"/>
        <v>1.3657407407407407</v>
      </c>
      <c r="L84" s="157">
        <f t="shared" si="4"/>
        <v>7.3220338983050866</v>
      </c>
      <c r="M84" s="164">
        <f t="shared" si="5"/>
        <v>10</v>
      </c>
    </row>
    <row r="85" spans="1:13" x14ac:dyDescent="0.25">
      <c r="A85" s="101" t="s">
        <v>120</v>
      </c>
      <c r="B85" s="102"/>
      <c r="C85" s="103"/>
      <c r="D85" s="6">
        <v>60</v>
      </c>
      <c r="E85" s="6">
        <v>33.75</v>
      </c>
      <c r="F85" s="6">
        <v>27.25</v>
      </c>
      <c r="G85" s="6">
        <v>22.5</v>
      </c>
      <c r="H85" s="6">
        <v>17.75</v>
      </c>
      <c r="I85" s="6">
        <v>20</v>
      </c>
      <c r="J85" s="6">
        <v>15</v>
      </c>
      <c r="K85" s="150">
        <f t="shared" si="3"/>
        <v>1.3625</v>
      </c>
      <c r="L85" s="157">
        <f t="shared" si="4"/>
        <v>4.7706422018348604</v>
      </c>
      <c r="M85" s="164">
        <f t="shared" si="5"/>
        <v>6.5</v>
      </c>
    </row>
    <row r="86" spans="1:13" x14ac:dyDescent="0.25">
      <c r="A86" s="101" t="s">
        <v>121</v>
      </c>
      <c r="B86" s="102"/>
      <c r="C86" s="103"/>
      <c r="D86" s="6">
        <v>61</v>
      </c>
      <c r="E86" s="6">
        <v>67.5</v>
      </c>
      <c r="F86" s="6">
        <v>57.25</v>
      </c>
      <c r="G86" s="6">
        <v>39.5</v>
      </c>
      <c r="H86" s="6">
        <v>30.25</v>
      </c>
      <c r="I86" s="6">
        <v>49</v>
      </c>
      <c r="J86" s="6">
        <v>29</v>
      </c>
      <c r="K86" s="150">
        <f t="shared" si="3"/>
        <v>1.1683673469387754</v>
      </c>
      <c r="L86" s="157">
        <f t="shared" si="4"/>
        <v>8.772925764192145</v>
      </c>
      <c r="M86" s="164">
        <f t="shared" si="5"/>
        <v>10.25</v>
      </c>
    </row>
    <row r="87" spans="1:13" x14ac:dyDescent="0.25">
      <c r="A87" s="101" t="s">
        <v>122</v>
      </c>
      <c r="B87" s="102"/>
      <c r="C87" s="103"/>
      <c r="D87" s="6">
        <v>62</v>
      </c>
      <c r="E87" s="6">
        <v>47</v>
      </c>
      <c r="F87" s="6">
        <v>41.5</v>
      </c>
      <c r="G87" s="6">
        <v>28.75</v>
      </c>
      <c r="H87" s="6">
        <v>24.5</v>
      </c>
      <c r="I87" s="6">
        <v>34</v>
      </c>
      <c r="J87" s="6">
        <v>18</v>
      </c>
      <c r="K87" s="150">
        <f t="shared" si="3"/>
        <v>1.2205882352941178</v>
      </c>
      <c r="L87" s="157">
        <f t="shared" si="4"/>
        <v>4.5060240963855378</v>
      </c>
      <c r="M87" s="164">
        <f t="shared" si="5"/>
        <v>5.5</v>
      </c>
    </row>
    <row r="88" spans="1:13" x14ac:dyDescent="0.25">
      <c r="A88" s="101" t="s">
        <v>123</v>
      </c>
      <c r="B88" s="102"/>
      <c r="C88" s="103"/>
      <c r="D88" s="6" t="s">
        <v>124</v>
      </c>
      <c r="E88" s="6">
        <v>7.25</v>
      </c>
      <c r="F88" s="6">
        <v>6</v>
      </c>
      <c r="G88" s="6">
        <v>6.25</v>
      </c>
      <c r="H88" s="6">
        <v>5</v>
      </c>
      <c r="I88" s="6">
        <v>6</v>
      </c>
      <c r="J88" s="6">
        <v>5</v>
      </c>
      <c r="K88" s="150">
        <f t="shared" si="3"/>
        <v>1</v>
      </c>
      <c r="L88" s="157">
        <f t="shared" si="4"/>
        <v>1.25</v>
      </c>
      <c r="M88" s="164">
        <f t="shared" si="5"/>
        <v>1.25</v>
      </c>
    </row>
    <row r="89" spans="1:13" x14ac:dyDescent="0.25">
      <c r="A89" s="101" t="s">
        <v>125</v>
      </c>
      <c r="B89" s="102"/>
      <c r="C89" s="103"/>
      <c r="D89" s="6">
        <v>63</v>
      </c>
      <c r="E89" s="6">
        <v>65.75</v>
      </c>
      <c r="F89" s="6">
        <v>64.75</v>
      </c>
      <c r="G89" s="6">
        <v>29.5</v>
      </c>
      <c r="H89" s="6">
        <v>28.5</v>
      </c>
      <c r="I89" s="6">
        <v>47</v>
      </c>
      <c r="J89" s="6">
        <v>27</v>
      </c>
      <c r="K89" s="150">
        <f t="shared" si="3"/>
        <v>1.3776595744680851</v>
      </c>
      <c r="L89" s="157">
        <f t="shared" si="4"/>
        <v>0.72586872586872886</v>
      </c>
      <c r="M89" s="164">
        <f t="shared" si="5"/>
        <v>1</v>
      </c>
    </row>
    <row r="90" spans="1:13" x14ac:dyDescent="0.25">
      <c r="A90" s="101" t="s">
        <v>126</v>
      </c>
      <c r="B90" s="102"/>
      <c r="C90" s="103"/>
      <c r="D90" s="6">
        <v>64</v>
      </c>
      <c r="E90" s="6">
        <v>16.25</v>
      </c>
      <c r="F90" s="6">
        <v>15.75</v>
      </c>
      <c r="G90" s="6">
        <v>14</v>
      </c>
      <c r="H90" s="6">
        <v>13.5</v>
      </c>
      <c r="I90" s="6">
        <v>12</v>
      </c>
      <c r="J90" s="6">
        <v>10</v>
      </c>
      <c r="K90" s="150">
        <f t="shared" si="3"/>
        <v>1.3125</v>
      </c>
      <c r="L90" s="157">
        <f t="shared" si="4"/>
        <v>0.38095238095238138</v>
      </c>
      <c r="M90" s="164">
        <f t="shared" si="5"/>
        <v>0.5</v>
      </c>
    </row>
    <row r="91" spans="1:13" x14ac:dyDescent="0.25">
      <c r="A91" s="101" t="s">
        <v>127</v>
      </c>
      <c r="B91" s="102"/>
      <c r="C91" s="103"/>
      <c r="D91" s="6">
        <v>65</v>
      </c>
      <c r="E91" s="6">
        <v>181.25</v>
      </c>
      <c r="F91" s="6">
        <v>138.25</v>
      </c>
      <c r="G91" s="6">
        <v>55.5</v>
      </c>
      <c r="H91" s="6">
        <v>45</v>
      </c>
      <c r="I91" s="6">
        <v>105</v>
      </c>
      <c r="J91" s="6">
        <v>41</v>
      </c>
      <c r="K91" s="150">
        <f t="shared" si="3"/>
        <v>1.3166666666666667</v>
      </c>
      <c r="L91" s="157">
        <f t="shared" si="4"/>
        <v>32.658227848101262</v>
      </c>
      <c r="M91" s="164">
        <f t="shared" si="5"/>
        <v>43</v>
      </c>
    </row>
    <row r="92" spans="1:13" x14ac:dyDescent="0.25">
      <c r="A92" s="101" t="s">
        <v>128</v>
      </c>
      <c r="B92" s="102"/>
      <c r="C92" s="103"/>
      <c r="D92" s="6">
        <v>66</v>
      </c>
      <c r="E92" s="6">
        <v>83</v>
      </c>
      <c r="F92" s="6">
        <v>63</v>
      </c>
      <c r="G92" s="6">
        <v>26.5</v>
      </c>
      <c r="H92" s="6">
        <v>21</v>
      </c>
      <c r="I92" s="6">
        <v>56</v>
      </c>
      <c r="J92" s="6">
        <v>18</v>
      </c>
      <c r="K92" s="150">
        <f t="shared" si="3"/>
        <v>1.125</v>
      </c>
      <c r="L92" s="157">
        <f t="shared" si="4"/>
        <v>17.777777777777771</v>
      </c>
      <c r="M92" s="164">
        <f t="shared" si="5"/>
        <v>20</v>
      </c>
    </row>
    <row r="93" spans="1:13" x14ac:dyDescent="0.25">
      <c r="A93" s="101" t="s">
        <v>129</v>
      </c>
      <c r="B93" s="102"/>
      <c r="C93" s="103"/>
      <c r="D93" s="6">
        <v>67</v>
      </c>
      <c r="E93" s="6">
        <v>130.75</v>
      </c>
      <c r="F93" s="6">
        <v>99.25</v>
      </c>
      <c r="G93" s="6">
        <v>58.5</v>
      </c>
      <c r="H93" s="6">
        <v>47.75</v>
      </c>
      <c r="I93" s="6">
        <v>59</v>
      </c>
      <c r="J93" s="6">
        <v>30</v>
      </c>
      <c r="K93" s="150">
        <f t="shared" si="3"/>
        <v>1.6822033898305084</v>
      </c>
      <c r="L93" s="157">
        <f t="shared" si="4"/>
        <v>18.725440806045341</v>
      </c>
      <c r="M93" s="164">
        <f t="shared" si="5"/>
        <v>31.5</v>
      </c>
    </row>
    <row r="94" spans="1:13" x14ac:dyDescent="0.25">
      <c r="A94" s="101" t="s">
        <v>130</v>
      </c>
      <c r="B94" s="102"/>
      <c r="C94" s="103"/>
      <c r="D94" s="6" t="s">
        <v>131</v>
      </c>
      <c r="E94" s="6">
        <v>41.75</v>
      </c>
      <c r="F94" s="6">
        <v>32.5</v>
      </c>
      <c r="G94" s="6">
        <v>12.5</v>
      </c>
      <c r="H94" s="6">
        <v>11.25</v>
      </c>
      <c r="I94" s="6">
        <v>19</v>
      </c>
      <c r="J94" s="6">
        <v>7</v>
      </c>
      <c r="K94" s="150">
        <f t="shared" si="3"/>
        <v>1.7105263157894737</v>
      </c>
      <c r="L94" s="157">
        <f t="shared" si="4"/>
        <v>5.407692307692308</v>
      </c>
      <c r="M94" s="164">
        <f t="shared" si="5"/>
        <v>9.25</v>
      </c>
    </row>
    <row r="95" spans="1:13" x14ac:dyDescent="0.25">
      <c r="A95" s="101" t="s">
        <v>132</v>
      </c>
      <c r="B95" s="102"/>
      <c r="C95" s="103"/>
      <c r="D95" s="6" t="s">
        <v>133</v>
      </c>
      <c r="E95" s="6">
        <v>29.5</v>
      </c>
      <c r="F95" s="6">
        <v>17.25</v>
      </c>
      <c r="G95" s="6">
        <v>9.75</v>
      </c>
      <c r="H95" s="6">
        <v>6.25</v>
      </c>
      <c r="I95" s="6">
        <v>12</v>
      </c>
      <c r="J95" s="6">
        <v>6</v>
      </c>
      <c r="K95" s="150">
        <f t="shared" si="3"/>
        <v>1.4375</v>
      </c>
      <c r="L95" s="157">
        <f t="shared" si="4"/>
        <v>8.5217391304347814</v>
      </c>
      <c r="M95" s="164">
        <f t="shared" si="5"/>
        <v>12.25</v>
      </c>
    </row>
    <row r="96" spans="1:13" x14ac:dyDescent="0.25">
      <c r="A96" s="101" t="s">
        <v>134</v>
      </c>
      <c r="B96" s="102"/>
      <c r="C96" s="103"/>
      <c r="D96" s="6" t="s">
        <v>135</v>
      </c>
      <c r="E96" s="6"/>
      <c r="F96" s="6"/>
      <c r="G96" s="6"/>
      <c r="H96" s="6"/>
      <c r="I96" s="6"/>
      <c r="J96" s="6"/>
      <c r="K96" s="150"/>
      <c r="L96" s="157"/>
      <c r="M96" s="164"/>
    </row>
    <row r="97" spans="1:13" x14ac:dyDescent="0.25">
      <c r="A97" s="101" t="s">
        <v>136</v>
      </c>
      <c r="B97" s="102"/>
      <c r="C97" s="103"/>
      <c r="D97" s="6" t="s">
        <v>137</v>
      </c>
      <c r="E97" s="6">
        <v>1</v>
      </c>
      <c r="F97" s="6">
        <v>1</v>
      </c>
      <c r="G97" s="6"/>
      <c r="H97" s="6"/>
      <c r="I97" s="6"/>
      <c r="J97" s="6"/>
      <c r="K97" s="150"/>
      <c r="L97" s="157"/>
      <c r="M97" s="164"/>
    </row>
    <row r="98" spans="1:13" x14ac:dyDescent="0.25">
      <c r="A98" s="101" t="s">
        <v>138</v>
      </c>
      <c r="B98" s="102"/>
      <c r="C98" s="103"/>
      <c r="D98" s="6" t="s">
        <v>139</v>
      </c>
      <c r="E98" s="6">
        <v>1</v>
      </c>
      <c r="F98" s="6">
        <v>1</v>
      </c>
      <c r="G98" s="6"/>
      <c r="H98" s="6"/>
      <c r="I98" s="6">
        <v>1</v>
      </c>
      <c r="J98" s="6"/>
      <c r="K98" s="150">
        <f t="shared" si="3"/>
        <v>1</v>
      </c>
      <c r="L98" s="157"/>
      <c r="M98" s="164"/>
    </row>
    <row r="99" spans="1:13" x14ac:dyDescent="0.25">
      <c r="A99" s="101" t="s">
        <v>140</v>
      </c>
      <c r="B99" s="102"/>
      <c r="C99" s="103"/>
      <c r="D99" s="6" t="s">
        <v>141</v>
      </c>
      <c r="E99" s="6"/>
      <c r="F99" s="6"/>
      <c r="G99" s="6"/>
      <c r="H99" s="6"/>
      <c r="I99" s="6"/>
      <c r="J99" s="6"/>
      <c r="K99" s="150"/>
      <c r="L99" s="157"/>
      <c r="M99" s="164"/>
    </row>
    <row r="100" spans="1:13" x14ac:dyDescent="0.25">
      <c r="A100" s="101" t="s">
        <v>142</v>
      </c>
      <c r="B100" s="102"/>
      <c r="C100" s="103"/>
      <c r="D100" s="6" t="s">
        <v>143</v>
      </c>
      <c r="E100" s="6">
        <v>57.5</v>
      </c>
      <c r="F100" s="6">
        <v>47.5</v>
      </c>
      <c r="G100" s="6">
        <v>36.25</v>
      </c>
      <c r="H100" s="6">
        <v>30.25</v>
      </c>
      <c r="I100" s="6">
        <v>27</v>
      </c>
      <c r="J100" s="6">
        <v>17</v>
      </c>
      <c r="K100" s="150">
        <f t="shared" si="3"/>
        <v>1.7592592592592593</v>
      </c>
      <c r="L100" s="157">
        <f t="shared" si="4"/>
        <v>5.6842105263157876</v>
      </c>
      <c r="M100" s="164">
        <f t="shared" si="5"/>
        <v>10</v>
      </c>
    </row>
    <row r="101" spans="1:13" x14ac:dyDescent="0.25">
      <c r="A101" s="101" t="s">
        <v>144</v>
      </c>
      <c r="B101" s="102"/>
      <c r="C101" s="103"/>
      <c r="D101" s="6">
        <v>68</v>
      </c>
      <c r="E101" s="6">
        <v>9.25</v>
      </c>
      <c r="F101" s="6">
        <v>8.5</v>
      </c>
      <c r="G101" s="6">
        <v>5.25</v>
      </c>
      <c r="H101" s="6">
        <v>5</v>
      </c>
      <c r="I101" s="6">
        <v>6</v>
      </c>
      <c r="J101" s="6">
        <v>4</v>
      </c>
      <c r="K101" s="150">
        <f t="shared" si="3"/>
        <v>1.4166666666666667</v>
      </c>
      <c r="L101" s="157">
        <f t="shared" si="4"/>
        <v>0.52941176470588225</v>
      </c>
      <c r="M101" s="164">
        <f t="shared" si="5"/>
        <v>0.75</v>
      </c>
    </row>
    <row r="102" spans="1:13" x14ac:dyDescent="0.25">
      <c r="A102" s="101" t="s">
        <v>145</v>
      </c>
      <c r="B102" s="102"/>
      <c r="C102" s="103"/>
      <c r="D102" s="6" t="s">
        <v>146</v>
      </c>
      <c r="E102" s="6">
        <v>1</v>
      </c>
      <c r="F102" s="6">
        <v>1</v>
      </c>
      <c r="G102" s="6"/>
      <c r="H102" s="6"/>
      <c r="I102" s="6">
        <v>1</v>
      </c>
      <c r="J102" s="6"/>
      <c r="K102" s="150">
        <f t="shared" si="3"/>
        <v>1</v>
      </c>
      <c r="L102" s="157"/>
      <c r="M102" s="164"/>
    </row>
    <row r="103" spans="1:13" x14ac:dyDescent="0.25">
      <c r="A103" s="101" t="s">
        <v>147</v>
      </c>
      <c r="B103" s="102"/>
      <c r="C103" s="103"/>
      <c r="D103" s="6" t="s">
        <v>148</v>
      </c>
      <c r="E103" s="6"/>
      <c r="F103" s="6"/>
      <c r="G103" s="6"/>
      <c r="H103" s="6"/>
      <c r="I103" s="6"/>
      <c r="J103" s="6"/>
      <c r="K103" s="150"/>
      <c r="L103" s="157"/>
      <c r="M103" s="164"/>
    </row>
    <row r="104" spans="1:13" x14ac:dyDescent="0.25">
      <c r="A104" s="101" t="s">
        <v>149</v>
      </c>
      <c r="B104" s="102"/>
      <c r="C104" s="103"/>
      <c r="D104" s="6" t="s">
        <v>150</v>
      </c>
      <c r="E104" s="6"/>
      <c r="F104" s="6"/>
      <c r="G104" s="6"/>
      <c r="H104" s="6"/>
      <c r="I104" s="6"/>
      <c r="J104" s="6"/>
      <c r="K104" s="150"/>
      <c r="L104" s="157"/>
      <c r="M104" s="164"/>
    </row>
    <row r="105" spans="1:13" x14ac:dyDescent="0.25">
      <c r="A105" s="101" t="s">
        <v>151</v>
      </c>
      <c r="B105" s="102"/>
      <c r="C105" s="103"/>
      <c r="D105" s="6" t="s">
        <v>152</v>
      </c>
      <c r="E105" s="6"/>
      <c r="F105" s="6"/>
      <c r="G105" s="6"/>
      <c r="H105" s="6"/>
      <c r="I105" s="6"/>
      <c r="J105" s="6"/>
      <c r="K105" s="150"/>
      <c r="L105" s="157"/>
      <c r="M105" s="164"/>
    </row>
    <row r="106" spans="1:13" x14ac:dyDescent="0.25">
      <c r="A106" s="101" t="s">
        <v>153</v>
      </c>
      <c r="B106" s="102"/>
      <c r="C106" s="103"/>
      <c r="D106" s="6" t="s">
        <v>154</v>
      </c>
      <c r="E106" s="6"/>
      <c r="F106" s="6"/>
      <c r="G106" s="6"/>
      <c r="H106" s="6"/>
      <c r="I106" s="6"/>
      <c r="J106" s="6"/>
      <c r="K106" s="150"/>
      <c r="L106" s="157"/>
      <c r="M106" s="164"/>
    </row>
    <row r="107" spans="1:13" x14ac:dyDescent="0.25">
      <c r="A107" s="101" t="s">
        <v>155</v>
      </c>
      <c r="B107" s="102"/>
      <c r="C107" s="103"/>
      <c r="D107" s="6" t="s">
        <v>156</v>
      </c>
      <c r="E107" s="6">
        <v>8.25</v>
      </c>
      <c r="F107" s="6">
        <v>7.5</v>
      </c>
      <c r="G107" s="6">
        <v>5.25</v>
      </c>
      <c r="H107" s="6">
        <v>5</v>
      </c>
      <c r="I107" s="6">
        <v>5</v>
      </c>
      <c r="J107" s="6">
        <v>4</v>
      </c>
      <c r="K107" s="150">
        <f t="shared" si="3"/>
        <v>1.5</v>
      </c>
      <c r="L107" s="157">
        <f t="shared" si="4"/>
        <v>0.5</v>
      </c>
      <c r="M107" s="164">
        <f t="shared" si="5"/>
        <v>0.75</v>
      </c>
    </row>
    <row r="108" spans="1:13" x14ac:dyDescent="0.25">
      <c r="A108" s="101" t="s">
        <v>157</v>
      </c>
      <c r="B108" s="102"/>
      <c r="C108" s="103"/>
      <c r="D108" s="6">
        <v>69</v>
      </c>
      <c r="E108" s="6">
        <v>61</v>
      </c>
      <c r="F108" s="6">
        <v>48.75</v>
      </c>
      <c r="G108" s="6">
        <v>37.25</v>
      </c>
      <c r="H108" s="6">
        <v>32.5</v>
      </c>
      <c r="I108" s="6">
        <v>39</v>
      </c>
      <c r="J108" s="6">
        <v>32</v>
      </c>
      <c r="K108" s="150">
        <f t="shared" si="3"/>
        <v>1.25</v>
      </c>
      <c r="L108" s="157">
        <f t="shared" si="4"/>
        <v>9.7999999999999972</v>
      </c>
      <c r="M108" s="164">
        <f t="shared" si="5"/>
        <v>12.25</v>
      </c>
    </row>
    <row r="109" spans="1:13" x14ac:dyDescent="0.25">
      <c r="A109" s="101" t="s">
        <v>158</v>
      </c>
      <c r="B109" s="102"/>
      <c r="C109" s="103"/>
      <c r="D109" s="6">
        <v>70</v>
      </c>
      <c r="E109" s="6">
        <v>2.25</v>
      </c>
      <c r="F109" s="6">
        <v>2.25</v>
      </c>
      <c r="G109" s="6">
        <v>2.25</v>
      </c>
      <c r="H109" s="6">
        <v>2.25</v>
      </c>
      <c r="I109" s="6">
        <v>1</v>
      </c>
      <c r="J109" s="6">
        <v>1</v>
      </c>
      <c r="K109" s="150">
        <f t="shared" si="3"/>
        <v>2.25</v>
      </c>
      <c r="L109" s="157"/>
      <c r="M109" s="164"/>
    </row>
    <row r="110" spans="1:13" x14ac:dyDescent="0.25">
      <c r="A110" s="101" t="s">
        <v>159</v>
      </c>
      <c r="B110" s="102"/>
      <c r="C110" s="103"/>
      <c r="D110" s="6">
        <v>71</v>
      </c>
      <c r="E110" s="6"/>
      <c r="F110" s="6"/>
      <c r="G110" s="6"/>
      <c r="H110" s="6"/>
      <c r="I110" s="6"/>
      <c r="J110" s="6"/>
      <c r="K110" s="150"/>
      <c r="L110" s="157"/>
      <c r="M110" s="164"/>
    </row>
    <row r="111" spans="1:13" x14ac:dyDescent="0.25">
      <c r="A111" s="101" t="s">
        <v>160</v>
      </c>
      <c r="B111" s="102"/>
      <c r="C111" s="103"/>
      <c r="D111" s="6">
        <v>72</v>
      </c>
      <c r="E111" s="6">
        <v>27.75</v>
      </c>
      <c r="F111" s="6">
        <v>21.25</v>
      </c>
      <c r="G111" s="6"/>
      <c r="H111" s="6"/>
      <c r="I111" s="6">
        <v>13</v>
      </c>
      <c r="J111" s="6"/>
      <c r="K111" s="150">
        <f t="shared" si="3"/>
        <v>1.6346153846153846</v>
      </c>
      <c r="L111" s="157">
        <f t="shared" si="4"/>
        <v>3.9764705882352942</v>
      </c>
      <c r="M111" s="164">
        <f t="shared" si="5"/>
        <v>6.5</v>
      </c>
    </row>
    <row r="112" spans="1:13" x14ac:dyDescent="0.25">
      <c r="A112" s="101" t="s">
        <v>161</v>
      </c>
      <c r="B112" s="102"/>
      <c r="C112" s="103"/>
      <c r="D112" s="6">
        <v>73</v>
      </c>
      <c r="E112" s="6">
        <v>5</v>
      </c>
      <c r="F112" s="6">
        <v>3.25</v>
      </c>
      <c r="G112" s="6"/>
      <c r="H112" s="6"/>
      <c r="I112" s="6">
        <v>3</v>
      </c>
      <c r="J112" s="6"/>
      <c r="K112" s="150">
        <f t="shared" si="3"/>
        <v>1.0833333333333333</v>
      </c>
      <c r="L112" s="157">
        <f t="shared" si="4"/>
        <v>1.6153846153846159</v>
      </c>
      <c r="M112" s="164">
        <f t="shared" si="5"/>
        <v>1.75</v>
      </c>
    </row>
    <row r="113" spans="1:13" x14ac:dyDescent="0.25">
      <c r="A113" s="101" t="s">
        <v>162</v>
      </c>
      <c r="B113" s="102"/>
      <c r="C113" s="103"/>
      <c r="D113" s="6">
        <v>74</v>
      </c>
      <c r="E113" s="6">
        <v>127</v>
      </c>
      <c r="F113" s="6">
        <v>101.5</v>
      </c>
      <c r="G113" s="6">
        <v>51.5</v>
      </c>
      <c r="H113" s="6">
        <v>44</v>
      </c>
      <c r="I113" s="6">
        <v>86</v>
      </c>
      <c r="J113" s="6">
        <v>38</v>
      </c>
      <c r="K113" s="150">
        <f t="shared" si="3"/>
        <v>1.180232558139535</v>
      </c>
      <c r="L113" s="157">
        <f t="shared" si="4"/>
        <v>21.605911330049253</v>
      </c>
      <c r="M113" s="164">
        <f t="shared" si="5"/>
        <v>25.5</v>
      </c>
    </row>
    <row r="114" spans="1:13" x14ac:dyDescent="0.25">
      <c r="A114" s="101" t="s">
        <v>163</v>
      </c>
      <c r="B114" s="102"/>
      <c r="C114" s="103"/>
      <c r="D114" s="6" t="s">
        <v>164</v>
      </c>
      <c r="E114" s="6">
        <v>68.75</v>
      </c>
      <c r="F114" s="6">
        <v>58</v>
      </c>
      <c r="G114" s="6">
        <v>34</v>
      </c>
      <c r="H114" s="6">
        <v>30.75</v>
      </c>
      <c r="I114" s="6">
        <v>52</v>
      </c>
      <c r="J114" s="6">
        <v>27</v>
      </c>
      <c r="K114" s="150">
        <f t="shared" si="3"/>
        <v>1.1153846153846154</v>
      </c>
      <c r="L114" s="157">
        <f t="shared" si="4"/>
        <v>9.6379310344827545</v>
      </c>
      <c r="M114" s="164">
        <f t="shared" si="5"/>
        <v>10.75</v>
      </c>
    </row>
    <row r="115" spans="1:13" x14ac:dyDescent="0.25">
      <c r="A115" s="101" t="s">
        <v>165</v>
      </c>
      <c r="B115" s="102"/>
      <c r="C115" s="103"/>
      <c r="D115" s="6" t="s">
        <v>166</v>
      </c>
      <c r="E115" s="6">
        <v>51.25</v>
      </c>
      <c r="F115" s="6">
        <v>38.75</v>
      </c>
      <c r="G115" s="6">
        <v>15.5</v>
      </c>
      <c r="H115" s="6">
        <v>12.25</v>
      </c>
      <c r="I115" s="6">
        <v>30</v>
      </c>
      <c r="J115" s="6">
        <v>10</v>
      </c>
      <c r="K115" s="150">
        <f t="shared" si="3"/>
        <v>1.2916666666666667</v>
      </c>
      <c r="L115" s="157">
        <f t="shared" si="4"/>
        <v>9.6774193548387046</v>
      </c>
      <c r="M115" s="164">
        <f t="shared" si="5"/>
        <v>12.5</v>
      </c>
    </row>
    <row r="116" spans="1:13" x14ac:dyDescent="0.25">
      <c r="A116" s="101" t="s">
        <v>167</v>
      </c>
      <c r="B116" s="102"/>
      <c r="C116" s="103"/>
      <c r="D116" s="6" t="s">
        <v>168</v>
      </c>
      <c r="E116" s="6"/>
      <c r="F116" s="6"/>
      <c r="G116" s="6"/>
      <c r="H116" s="6"/>
      <c r="I116" s="6"/>
      <c r="J116" s="6"/>
      <c r="K116" s="150"/>
      <c r="L116" s="157"/>
      <c r="M116" s="164"/>
    </row>
    <row r="117" spans="1:13" x14ac:dyDescent="0.25">
      <c r="A117" s="101" t="s">
        <v>169</v>
      </c>
      <c r="B117" s="102"/>
      <c r="C117" s="103"/>
      <c r="D117" s="11" t="s">
        <v>170</v>
      </c>
      <c r="E117" s="6"/>
      <c r="F117" s="6"/>
      <c r="G117" s="6"/>
      <c r="H117" s="6"/>
      <c r="I117" s="6"/>
      <c r="J117" s="6"/>
      <c r="K117" s="150"/>
      <c r="L117" s="157"/>
      <c r="M117" s="164"/>
    </row>
    <row r="118" spans="1:13" x14ac:dyDescent="0.25">
      <c r="A118" s="101" t="s">
        <v>171</v>
      </c>
      <c r="B118" s="102"/>
      <c r="C118" s="103"/>
      <c r="D118" s="11">
        <v>75</v>
      </c>
      <c r="E118" s="6">
        <v>207.5</v>
      </c>
      <c r="F118" s="6">
        <v>160.75</v>
      </c>
      <c r="G118" s="6">
        <v>111</v>
      </c>
      <c r="H118" s="6">
        <v>91.75</v>
      </c>
      <c r="I118" s="6">
        <v>108</v>
      </c>
      <c r="J118" s="6">
        <v>58</v>
      </c>
      <c r="K118" s="150">
        <f t="shared" si="3"/>
        <v>1.4884259259259258</v>
      </c>
      <c r="L118" s="157">
        <f t="shared" si="4"/>
        <v>31.409020217729392</v>
      </c>
      <c r="M118" s="164">
        <f t="shared" si="5"/>
        <v>46.75</v>
      </c>
    </row>
    <row r="119" spans="1:13" x14ac:dyDescent="0.25">
      <c r="A119" s="101" t="s">
        <v>172</v>
      </c>
      <c r="B119" s="102"/>
      <c r="C119" s="103"/>
      <c r="D119" s="11" t="s">
        <v>173</v>
      </c>
      <c r="E119" s="6">
        <v>13</v>
      </c>
      <c r="F119" s="6">
        <v>12</v>
      </c>
      <c r="G119" s="6">
        <v>6.25</v>
      </c>
      <c r="H119" s="6">
        <v>5.25</v>
      </c>
      <c r="I119" s="6">
        <v>9</v>
      </c>
      <c r="J119" s="6">
        <v>3</v>
      </c>
      <c r="K119" s="150">
        <f t="shared" si="3"/>
        <v>1.3333333333333333</v>
      </c>
      <c r="L119" s="157">
        <f t="shared" si="4"/>
        <v>0.75</v>
      </c>
      <c r="M119" s="164">
        <f t="shared" si="5"/>
        <v>1</v>
      </c>
    </row>
    <row r="120" spans="1:13" x14ac:dyDescent="0.25">
      <c r="A120" s="101" t="s">
        <v>174</v>
      </c>
      <c r="B120" s="102"/>
      <c r="C120" s="103"/>
      <c r="D120" s="11">
        <v>76</v>
      </c>
      <c r="E120" s="6">
        <v>23.75</v>
      </c>
      <c r="F120" s="6">
        <v>17.5</v>
      </c>
      <c r="G120" s="6">
        <v>22.75</v>
      </c>
      <c r="H120" s="6">
        <v>17.5</v>
      </c>
      <c r="I120" s="6">
        <v>14</v>
      </c>
      <c r="J120" s="6">
        <v>14</v>
      </c>
      <c r="K120" s="150">
        <f t="shared" si="3"/>
        <v>1.25</v>
      </c>
      <c r="L120" s="157">
        <f t="shared" si="4"/>
        <v>5</v>
      </c>
      <c r="M120" s="164">
        <f t="shared" si="5"/>
        <v>6.25</v>
      </c>
    </row>
    <row r="121" spans="1:13" x14ac:dyDescent="0.25">
      <c r="A121" s="101" t="s">
        <v>175</v>
      </c>
      <c r="B121" s="102"/>
      <c r="C121" s="103"/>
      <c r="D121" s="11">
        <v>77</v>
      </c>
      <c r="E121" s="6">
        <v>379.25</v>
      </c>
      <c r="F121" s="6">
        <v>317.5</v>
      </c>
      <c r="G121" s="6">
        <v>127.75</v>
      </c>
      <c r="H121" s="6">
        <v>116.5</v>
      </c>
      <c r="I121" s="6">
        <v>250</v>
      </c>
      <c r="J121" s="6">
        <v>97</v>
      </c>
      <c r="K121" s="150">
        <f t="shared" si="3"/>
        <v>1.27</v>
      </c>
      <c r="L121" s="157">
        <f t="shared" si="4"/>
        <v>48.62204724409446</v>
      </c>
      <c r="M121" s="164">
        <f t="shared" si="5"/>
        <v>61.75</v>
      </c>
    </row>
    <row r="122" spans="1:13" x14ac:dyDescent="0.25">
      <c r="A122" s="101" t="s">
        <v>176</v>
      </c>
      <c r="B122" s="102"/>
      <c r="C122" s="103"/>
      <c r="D122" s="11" t="s">
        <v>177</v>
      </c>
      <c r="E122" s="6">
        <v>15.75</v>
      </c>
      <c r="F122" s="6">
        <v>13</v>
      </c>
      <c r="G122" s="6">
        <v>9.25</v>
      </c>
      <c r="H122" s="6">
        <v>9.25</v>
      </c>
      <c r="I122" s="6">
        <v>9</v>
      </c>
      <c r="J122" s="6">
        <v>8</v>
      </c>
      <c r="K122" s="150">
        <f t="shared" si="3"/>
        <v>1.4444444444444444</v>
      </c>
      <c r="L122" s="157">
        <f t="shared" si="4"/>
        <v>1.9038461538461533</v>
      </c>
      <c r="M122" s="164">
        <f t="shared" si="5"/>
        <v>2.75</v>
      </c>
    </row>
    <row r="123" spans="1:13" x14ac:dyDescent="0.25">
      <c r="A123" s="101" t="s">
        <v>178</v>
      </c>
      <c r="B123" s="102"/>
      <c r="C123" s="103"/>
      <c r="D123" s="11" t="s">
        <v>179</v>
      </c>
      <c r="E123" s="6">
        <v>113</v>
      </c>
      <c r="F123" s="6">
        <v>99</v>
      </c>
      <c r="G123" s="6">
        <v>35.75</v>
      </c>
      <c r="H123" s="6">
        <v>32.75</v>
      </c>
      <c r="I123" s="6">
        <v>85</v>
      </c>
      <c r="J123" s="6">
        <v>29</v>
      </c>
      <c r="K123" s="150">
        <f t="shared" si="3"/>
        <v>1.1647058823529413</v>
      </c>
      <c r="L123" s="157">
        <f t="shared" si="4"/>
        <v>12.020202020202007</v>
      </c>
      <c r="M123" s="164">
        <f t="shared" si="5"/>
        <v>14</v>
      </c>
    </row>
    <row r="124" spans="1:13" x14ac:dyDescent="0.25">
      <c r="A124" s="101" t="s">
        <v>180</v>
      </c>
      <c r="B124" s="102"/>
      <c r="C124" s="103"/>
      <c r="D124" s="11" t="s">
        <v>181</v>
      </c>
      <c r="E124" s="6">
        <v>8</v>
      </c>
      <c r="F124" s="6">
        <v>8</v>
      </c>
      <c r="G124" s="6">
        <v>1</v>
      </c>
      <c r="H124" s="6">
        <v>1</v>
      </c>
      <c r="I124" s="6">
        <v>8</v>
      </c>
      <c r="J124" s="6">
        <v>1</v>
      </c>
      <c r="K124" s="150">
        <f t="shared" si="3"/>
        <v>1</v>
      </c>
      <c r="L124" s="157"/>
      <c r="M124" s="164"/>
    </row>
    <row r="125" spans="1:13" x14ac:dyDescent="0.25">
      <c r="A125" s="101" t="s">
        <v>182</v>
      </c>
      <c r="B125" s="102"/>
      <c r="C125" s="103"/>
      <c r="D125" s="11" t="s">
        <v>183</v>
      </c>
      <c r="E125" s="6">
        <v>102.5</v>
      </c>
      <c r="F125" s="6">
        <v>82.5</v>
      </c>
      <c r="G125" s="6">
        <v>38.5</v>
      </c>
      <c r="H125" s="6">
        <v>33</v>
      </c>
      <c r="I125" s="6">
        <v>64</v>
      </c>
      <c r="J125" s="6">
        <v>25</v>
      </c>
      <c r="K125" s="150">
        <f t="shared" si="3"/>
        <v>1.2890625</v>
      </c>
      <c r="L125" s="157">
        <f t="shared" si="4"/>
        <v>15.515151515151516</v>
      </c>
      <c r="M125" s="164">
        <f t="shared" si="5"/>
        <v>20</v>
      </c>
    </row>
    <row r="126" spans="1:13" x14ac:dyDescent="0.25">
      <c r="A126" s="121" t="s">
        <v>184</v>
      </c>
      <c r="B126" s="122"/>
      <c r="C126" s="123"/>
      <c r="D126" s="11">
        <v>78</v>
      </c>
      <c r="E126" s="6">
        <v>6.5</v>
      </c>
      <c r="F126" s="6">
        <v>2.5</v>
      </c>
      <c r="G126" s="6">
        <v>6</v>
      </c>
      <c r="H126" s="6">
        <v>2.5</v>
      </c>
      <c r="I126" s="6">
        <v>1</v>
      </c>
      <c r="J126" s="6">
        <v>1</v>
      </c>
      <c r="K126" s="150">
        <f t="shared" si="3"/>
        <v>2.5</v>
      </c>
      <c r="L126" s="157">
        <f t="shared" si="4"/>
        <v>1.6</v>
      </c>
      <c r="M126" s="164">
        <f t="shared" si="5"/>
        <v>4</v>
      </c>
    </row>
    <row r="127" spans="1:13" x14ac:dyDescent="0.25">
      <c r="A127" s="101" t="s">
        <v>185</v>
      </c>
      <c r="B127" s="102"/>
      <c r="C127" s="103"/>
      <c r="D127" s="11">
        <v>79</v>
      </c>
      <c r="E127" s="6">
        <v>517.5</v>
      </c>
      <c r="F127" s="6">
        <v>433</v>
      </c>
      <c r="G127" s="6">
        <v>252.25</v>
      </c>
      <c r="H127" s="6">
        <v>210</v>
      </c>
      <c r="I127" s="6">
        <v>300</v>
      </c>
      <c r="J127" s="6">
        <v>154</v>
      </c>
      <c r="K127" s="150">
        <f t="shared" si="3"/>
        <v>1.4433333333333334</v>
      </c>
      <c r="L127" s="157">
        <f t="shared" si="4"/>
        <v>58.545034642032306</v>
      </c>
      <c r="M127" s="164">
        <f t="shared" si="5"/>
        <v>84.5</v>
      </c>
    </row>
    <row r="128" spans="1:13" x14ac:dyDescent="0.25">
      <c r="A128" s="101" t="s">
        <v>186</v>
      </c>
      <c r="B128" s="102"/>
      <c r="C128" s="103"/>
      <c r="D128" s="11" t="s">
        <v>187</v>
      </c>
      <c r="E128" s="6">
        <v>266.5</v>
      </c>
      <c r="F128" s="6">
        <v>233.25</v>
      </c>
      <c r="G128" s="6">
        <v>141</v>
      </c>
      <c r="H128" s="6">
        <v>122.25</v>
      </c>
      <c r="I128" s="6">
        <v>164</v>
      </c>
      <c r="J128" s="6">
        <v>94</v>
      </c>
      <c r="K128" s="150">
        <f t="shared" si="3"/>
        <v>1.4222560975609757</v>
      </c>
      <c r="L128" s="157">
        <f t="shared" si="4"/>
        <v>23.378349410503745</v>
      </c>
      <c r="M128" s="164">
        <f t="shared" si="5"/>
        <v>33.25</v>
      </c>
    </row>
    <row r="129" spans="1:13" x14ac:dyDescent="0.25">
      <c r="A129" s="101" t="s">
        <v>188</v>
      </c>
      <c r="B129" s="102"/>
      <c r="C129" s="103"/>
      <c r="D129" s="11" t="s">
        <v>189</v>
      </c>
      <c r="E129" s="6">
        <v>172</v>
      </c>
      <c r="F129" s="6">
        <v>137.25</v>
      </c>
      <c r="G129" s="6">
        <v>79.25</v>
      </c>
      <c r="H129" s="6">
        <v>62.25</v>
      </c>
      <c r="I129" s="6">
        <v>83</v>
      </c>
      <c r="J129" s="6">
        <v>38</v>
      </c>
      <c r="K129" s="150">
        <f t="shared" si="3"/>
        <v>1.6536144578313252</v>
      </c>
      <c r="L129" s="157">
        <f t="shared" si="4"/>
        <v>21.014571948998181</v>
      </c>
      <c r="M129" s="164">
        <f t="shared" si="5"/>
        <v>34.75</v>
      </c>
    </row>
    <row r="130" spans="1:13" x14ac:dyDescent="0.25">
      <c r="A130" s="73" t="s">
        <v>190</v>
      </c>
      <c r="B130" s="120"/>
      <c r="C130" s="74"/>
      <c r="D130" s="112" t="s">
        <v>191</v>
      </c>
      <c r="E130" s="112">
        <v>72</v>
      </c>
      <c r="F130" s="98">
        <v>55.5</v>
      </c>
      <c r="G130" s="98">
        <v>25</v>
      </c>
      <c r="H130" s="98">
        <v>18.5</v>
      </c>
      <c r="I130" s="98">
        <v>46</v>
      </c>
      <c r="J130" s="112">
        <v>15</v>
      </c>
      <c r="K130" s="151">
        <f t="shared" si="3"/>
        <v>1.2065217391304348</v>
      </c>
      <c r="L130" s="158">
        <f t="shared" si="4"/>
        <v>13.675675675675677</v>
      </c>
      <c r="M130" s="165">
        <f t="shared" si="5"/>
        <v>16.5</v>
      </c>
    </row>
    <row r="131" spans="1:13" x14ac:dyDescent="0.25">
      <c r="A131" s="131"/>
      <c r="B131" s="132"/>
      <c r="C131" s="133"/>
      <c r="D131" s="113"/>
      <c r="E131" s="113"/>
      <c r="F131" s="98"/>
      <c r="G131" s="98"/>
      <c r="H131" s="98"/>
      <c r="I131" s="98"/>
      <c r="J131" s="113"/>
      <c r="K131" s="152"/>
      <c r="L131" s="159"/>
      <c r="M131" s="166"/>
    </row>
    <row r="132" spans="1:13" x14ac:dyDescent="0.25">
      <c r="A132" s="101" t="s">
        <v>192</v>
      </c>
      <c r="B132" s="102"/>
      <c r="C132" s="103"/>
      <c r="D132" s="11" t="s">
        <v>193</v>
      </c>
      <c r="E132" s="6">
        <v>7</v>
      </c>
      <c r="F132" s="6">
        <v>7</v>
      </c>
      <c r="G132" s="6">
        <v>7</v>
      </c>
      <c r="H132" s="6">
        <v>7</v>
      </c>
      <c r="I132" s="6">
        <v>7</v>
      </c>
      <c r="J132" s="6">
        <v>7</v>
      </c>
      <c r="K132" s="150">
        <f t="shared" si="3"/>
        <v>1</v>
      </c>
      <c r="L132" s="157"/>
      <c r="M132" s="164"/>
    </row>
    <row r="133" spans="1:13" x14ac:dyDescent="0.25">
      <c r="A133" s="101" t="s">
        <v>194</v>
      </c>
      <c r="B133" s="102"/>
      <c r="C133" s="103"/>
      <c r="D133" s="6">
        <v>80</v>
      </c>
      <c r="E133" s="6">
        <v>536.25</v>
      </c>
      <c r="F133" s="6">
        <v>478.25</v>
      </c>
      <c r="G133" s="6">
        <v>513</v>
      </c>
      <c r="H133" s="6">
        <v>465</v>
      </c>
      <c r="I133" s="6">
        <v>441</v>
      </c>
      <c r="J133" s="6">
        <v>435</v>
      </c>
      <c r="K133" s="150">
        <f t="shared" si="3"/>
        <v>1.0844671201814058</v>
      </c>
      <c r="L133" s="157">
        <f t="shared" si="4"/>
        <v>53.482488238369115</v>
      </c>
      <c r="M133" s="164">
        <f t="shared" si="5"/>
        <v>58</v>
      </c>
    </row>
    <row r="134" spans="1:13" x14ac:dyDescent="0.25">
      <c r="A134" s="105" t="s">
        <v>195</v>
      </c>
      <c r="B134" s="106"/>
      <c r="C134" s="107"/>
      <c r="D134" s="8">
        <v>81</v>
      </c>
      <c r="E134" s="8">
        <v>4</v>
      </c>
      <c r="F134" s="8">
        <v>1</v>
      </c>
      <c r="G134" s="8"/>
      <c r="H134" s="8"/>
      <c r="I134" s="8">
        <v>1</v>
      </c>
      <c r="J134" s="8"/>
      <c r="K134" s="150">
        <f t="shared" ref="K134:K162" si="6">F134/I134</f>
        <v>1</v>
      </c>
      <c r="L134" s="157">
        <f t="shared" ref="L134:L162" si="7">E134/K134-I134</f>
        <v>3</v>
      </c>
      <c r="M134" s="164">
        <f t="shared" ref="M134:M162" si="8">E134-F134</f>
        <v>3</v>
      </c>
    </row>
    <row r="135" spans="1:13" x14ac:dyDescent="0.25">
      <c r="A135" s="121" t="s">
        <v>196</v>
      </c>
      <c r="B135" s="122"/>
      <c r="C135" s="123"/>
      <c r="D135" s="11">
        <v>82</v>
      </c>
      <c r="E135" s="6">
        <v>36</v>
      </c>
      <c r="F135" s="6">
        <v>15.5</v>
      </c>
      <c r="G135" s="6">
        <v>8.5</v>
      </c>
      <c r="H135" s="6">
        <v>4.5</v>
      </c>
      <c r="I135" s="6">
        <v>9</v>
      </c>
      <c r="J135" s="6">
        <v>2</v>
      </c>
      <c r="K135" s="150">
        <f t="shared" si="6"/>
        <v>1.7222222222222223</v>
      </c>
      <c r="L135" s="157">
        <f t="shared" si="7"/>
        <v>11.903225806451612</v>
      </c>
      <c r="M135" s="164">
        <f t="shared" si="8"/>
        <v>20.5</v>
      </c>
    </row>
    <row r="136" spans="1:13" x14ac:dyDescent="0.25">
      <c r="A136" s="101" t="s">
        <v>197</v>
      </c>
      <c r="B136" s="102"/>
      <c r="C136" s="103"/>
      <c r="D136" s="11">
        <v>83</v>
      </c>
      <c r="E136" s="6">
        <v>444.5</v>
      </c>
      <c r="F136" s="6">
        <v>261.75</v>
      </c>
      <c r="G136" s="6">
        <v>219.5</v>
      </c>
      <c r="H136" s="6">
        <v>160.25</v>
      </c>
      <c r="I136" s="6">
        <v>204</v>
      </c>
      <c r="J136" s="6">
        <v>120</v>
      </c>
      <c r="K136" s="150">
        <f t="shared" si="6"/>
        <v>1.2830882352941178</v>
      </c>
      <c r="L136" s="157">
        <f t="shared" si="7"/>
        <v>142.4297994269341</v>
      </c>
      <c r="M136" s="164">
        <f t="shared" si="8"/>
        <v>182.75</v>
      </c>
    </row>
    <row r="137" spans="1:13" x14ac:dyDescent="0.25">
      <c r="A137" s="101" t="s">
        <v>198</v>
      </c>
      <c r="B137" s="102"/>
      <c r="C137" s="103"/>
      <c r="D137" s="11" t="s">
        <v>199</v>
      </c>
      <c r="E137" s="6">
        <v>104.75</v>
      </c>
      <c r="F137" s="6">
        <v>85</v>
      </c>
      <c r="G137" s="6">
        <v>97.5</v>
      </c>
      <c r="H137" s="6">
        <v>78.75</v>
      </c>
      <c r="I137" s="6">
        <v>60</v>
      </c>
      <c r="J137" s="6">
        <v>55</v>
      </c>
      <c r="K137" s="150">
        <f t="shared" si="6"/>
        <v>1.4166666666666667</v>
      </c>
      <c r="L137" s="157">
        <f t="shared" si="7"/>
        <v>13.941176470588232</v>
      </c>
      <c r="M137" s="164">
        <f t="shared" si="8"/>
        <v>19.75</v>
      </c>
    </row>
    <row r="138" spans="1:13" x14ac:dyDescent="0.25">
      <c r="A138" s="101" t="s">
        <v>200</v>
      </c>
      <c r="B138" s="102"/>
      <c r="C138" s="103"/>
      <c r="D138" s="11" t="s">
        <v>201</v>
      </c>
      <c r="E138" s="6">
        <v>269</v>
      </c>
      <c r="F138" s="6">
        <v>129.25</v>
      </c>
      <c r="G138" s="6">
        <v>117</v>
      </c>
      <c r="H138" s="6">
        <v>79.5</v>
      </c>
      <c r="I138" s="6">
        <v>110</v>
      </c>
      <c r="J138" s="6">
        <v>64</v>
      </c>
      <c r="K138" s="150">
        <f t="shared" si="6"/>
        <v>1.175</v>
      </c>
      <c r="L138" s="157">
        <f t="shared" si="7"/>
        <v>118.93617021276594</v>
      </c>
      <c r="M138" s="164">
        <f t="shared" si="8"/>
        <v>139.75</v>
      </c>
    </row>
    <row r="139" spans="1:13" x14ac:dyDescent="0.25">
      <c r="A139" s="86" t="s">
        <v>202</v>
      </c>
      <c r="B139" s="87"/>
      <c r="C139" s="88"/>
      <c r="D139" s="49">
        <v>84</v>
      </c>
      <c r="E139" s="55">
        <v>11948.5</v>
      </c>
      <c r="F139" s="55">
        <v>9558</v>
      </c>
      <c r="G139" s="55">
        <v>4648.75</v>
      </c>
      <c r="H139" s="55">
        <v>3752.75</v>
      </c>
      <c r="I139" s="55">
        <v>7676</v>
      </c>
      <c r="J139" s="55">
        <v>2968</v>
      </c>
      <c r="K139" s="150">
        <f t="shared" si="6"/>
        <v>1.2451797811360084</v>
      </c>
      <c r="L139" s="157">
        <f t="shared" si="7"/>
        <v>1919.8030968821931</v>
      </c>
      <c r="M139" s="164">
        <f t="shared" si="8"/>
        <v>2390.5</v>
      </c>
    </row>
    <row r="140" spans="1:13" x14ac:dyDescent="0.25">
      <c r="A140" s="101" t="s">
        <v>203</v>
      </c>
      <c r="B140" s="102"/>
      <c r="C140" s="103"/>
      <c r="D140" s="11">
        <v>85</v>
      </c>
      <c r="E140" s="6">
        <v>8820.25</v>
      </c>
      <c r="F140" s="6">
        <v>6969.25</v>
      </c>
      <c r="G140" s="6">
        <v>2433.25</v>
      </c>
      <c r="H140" s="6">
        <v>1936.25</v>
      </c>
      <c r="I140" s="6">
        <v>5583</v>
      </c>
      <c r="J140" s="6">
        <v>1502</v>
      </c>
      <c r="K140" s="150">
        <f t="shared" si="6"/>
        <v>1.2482984058749775</v>
      </c>
      <c r="L140" s="157">
        <f t="shared" si="7"/>
        <v>1482.8185242314457</v>
      </c>
      <c r="M140" s="164">
        <f t="shared" si="8"/>
        <v>1851</v>
      </c>
    </row>
    <row r="141" spans="1:13" x14ac:dyDescent="0.25">
      <c r="A141" s="101" t="s">
        <v>204</v>
      </c>
      <c r="B141" s="102"/>
      <c r="C141" s="103"/>
      <c r="D141" s="11">
        <v>86</v>
      </c>
      <c r="E141" s="6">
        <v>385</v>
      </c>
      <c r="F141" s="6">
        <v>320</v>
      </c>
      <c r="G141" s="6">
        <v>385</v>
      </c>
      <c r="H141" s="6">
        <v>320</v>
      </c>
      <c r="I141" s="6">
        <v>269</v>
      </c>
      <c r="J141" s="6">
        <v>269</v>
      </c>
      <c r="K141" s="150">
        <f t="shared" si="6"/>
        <v>1.1895910780669146</v>
      </c>
      <c r="L141" s="157">
        <f t="shared" si="7"/>
        <v>54.640625</v>
      </c>
      <c r="M141" s="164">
        <f t="shared" si="8"/>
        <v>65</v>
      </c>
    </row>
    <row r="142" spans="1:13" x14ac:dyDescent="0.25">
      <c r="A142" s="101" t="s">
        <v>205</v>
      </c>
      <c r="B142" s="102"/>
      <c r="C142" s="103"/>
      <c r="D142" s="11" t="s">
        <v>206</v>
      </c>
      <c r="E142" s="6">
        <v>199</v>
      </c>
      <c r="F142" s="6">
        <v>159</v>
      </c>
      <c r="G142" s="6">
        <v>199</v>
      </c>
      <c r="H142" s="6">
        <v>159</v>
      </c>
      <c r="I142" s="6">
        <v>137</v>
      </c>
      <c r="J142" s="6">
        <v>137</v>
      </c>
      <c r="K142" s="150">
        <f t="shared" si="6"/>
        <v>1.1605839416058394</v>
      </c>
      <c r="L142" s="157">
        <f t="shared" si="7"/>
        <v>34.465408805031444</v>
      </c>
      <c r="M142" s="164">
        <f t="shared" si="8"/>
        <v>40</v>
      </c>
    </row>
    <row r="143" spans="1:13" x14ac:dyDescent="0.25">
      <c r="A143" s="83" t="s">
        <v>207</v>
      </c>
      <c r="B143" s="84"/>
      <c r="C143" s="85"/>
      <c r="D143" s="11" t="s">
        <v>208</v>
      </c>
      <c r="E143" s="6">
        <v>186</v>
      </c>
      <c r="F143" s="6">
        <v>161</v>
      </c>
      <c r="G143" s="6">
        <v>186</v>
      </c>
      <c r="H143" s="6">
        <v>161</v>
      </c>
      <c r="I143" s="6">
        <v>132</v>
      </c>
      <c r="J143" s="6">
        <v>132</v>
      </c>
      <c r="K143" s="150">
        <f t="shared" si="6"/>
        <v>1.2196969696969697</v>
      </c>
      <c r="L143" s="157">
        <f t="shared" si="7"/>
        <v>20.49689440993788</v>
      </c>
      <c r="M143" s="164">
        <f t="shared" si="8"/>
        <v>25</v>
      </c>
    </row>
    <row r="144" spans="1:13" x14ac:dyDescent="0.25">
      <c r="A144" s="101" t="s">
        <v>209</v>
      </c>
      <c r="B144" s="102"/>
      <c r="C144" s="103"/>
      <c r="D144" s="11">
        <v>87</v>
      </c>
      <c r="E144" s="6">
        <v>898</v>
      </c>
      <c r="F144" s="6">
        <v>737.5</v>
      </c>
      <c r="G144" s="6">
        <v>898</v>
      </c>
      <c r="H144" s="6">
        <v>737.5</v>
      </c>
      <c r="I144" s="6">
        <v>603</v>
      </c>
      <c r="J144" s="6">
        <v>603</v>
      </c>
      <c r="K144" s="150">
        <f t="shared" si="6"/>
        <v>1.2230514096185738</v>
      </c>
      <c r="L144" s="157">
        <f t="shared" si="7"/>
        <v>131.22915254237284</v>
      </c>
      <c r="M144" s="164">
        <f t="shared" si="8"/>
        <v>160.5</v>
      </c>
    </row>
    <row r="145" spans="1:13" x14ac:dyDescent="0.25">
      <c r="A145" s="101" t="s">
        <v>210</v>
      </c>
      <c r="B145" s="102"/>
      <c r="C145" s="103"/>
      <c r="D145" s="11">
        <v>88</v>
      </c>
      <c r="E145" s="6">
        <v>7</v>
      </c>
      <c r="F145" s="6">
        <v>5</v>
      </c>
      <c r="G145" s="6">
        <v>4</v>
      </c>
      <c r="H145" s="6">
        <v>2</v>
      </c>
      <c r="I145" s="6">
        <v>2</v>
      </c>
      <c r="J145" s="6"/>
      <c r="K145" s="150">
        <f t="shared" si="6"/>
        <v>2.5</v>
      </c>
      <c r="L145" s="157">
        <f t="shared" si="7"/>
        <v>0.79999999999999982</v>
      </c>
      <c r="M145" s="164">
        <f t="shared" si="8"/>
        <v>2</v>
      </c>
    </row>
    <row r="146" spans="1:13" x14ac:dyDescent="0.25">
      <c r="A146" s="124" t="s">
        <v>211</v>
      </c>
      <c r="B146" s="125"/>
      <c r="C146" s="126"/>
      <c r="D146" s="11">
        <v>89</v>
      </c>
      <c r="E146" s="6">
        <v>49.25</v>
      </c>
      <c r="F146" s="6">
        <v>36</v>
      </c>
      <c r="G146" s="6">
        <v>15.5</v>
      </c>
      <c r="H146" s="6">
        <v>9.5</v>
      </c>
      <c r="I146" s="6">
        <v>25</v>
      </c>
      <c r="J146" s="6">
        <v>9</v>
      </c>
      <c r="K146" s="150">
        <f t="shared" si="6"/>
        <v>1.44</v>
      </c>
      <c r="L146" s="157">
        <f t="shared" si="7"/>
        <v>9.2013888888888928</v>
      </c>
      <c r="M146" s="164">
        <f t="shared" si="8"/>
        <v>13.25</v>
      </c>
    </row>
    <row r="147" spans="1:13" x14ac:dyDescent="0.25">
      <c r="A147" s="127" t="s">
        <v>212</v>
      </c>
      <c r="B147" s="128"/>
      <c r="C147" s="129"/>
      <c r="D147" s="6">
        <v>90</v>
      </c>
      <c r="E147" s="8">
        <v>519.75</v>
      </c>
      <c r="F147" s="8">
        <v>455.5</v>
      </c>
      <c r="G147" s="8">
        <v>192.5</v>
      </c>
      <c r="H147" s="8">
        <v>165.5</v>
      </c>
      <c r="I147" s="8">
        <v>369</v>
      </c>
      <c r="J147" s="8">
        <v>125</v>
      </c>
      <c r="K147" s="150">
        <f t="shared" si="6"/>
        <v>1.2344173441734418</v>
      </c>
      <c r="L147" s="157">
        <f t="shared" si="7"/>
        <v>52.048847420417076</v>
      </c>
      <c r="M147" s="164">
        <f t="shared" si="8"/>
        <v>64.25</v>
      </c>
    </row>
    <row r="148" spans="1:13" x14ac:dyDescent="0.25">
      <c r="A148" s="101" t="s">
        <v>213</v>
      </c>
      <c r="B148" s="102"/>
      <c r="C148" s="103"/>
      <c r="D148" s="8">
        <v>91</v>
      </c>
      <c r="E148" s="6">
        <v>29</v>
      </c>
      <c r="F148" s="6">
        <v>22.25</v>
      </c>
      <c r="G148" s="6">
        <v>29</v>
      </c>
      <c r="H148" s="6">
        <v>22.25</v>
      </c>
      <c r="I148" s="6">
        <v>18</v>
      </c>
      <c r="J148" s="6">
        <v>18</v>
      </c>
      <c r="K148" s="150">
        <f t="shared" si="6"/>
        <v>1.2361111111111112</v>
      </c>
      <c r="L148" s="157">
        <f t="shared" si="7"/>
        <v>5.4606741573033695</v>
      </c>
      <c r="M148" s="164">
        <f t="shared" si="8"/>
        <v>6.75</v>
      </c>
    </row>
    <row r="149" spans="1:13" x14ac:dyDescent="0.25">
      <c r="A149" s="101" t="s">
        <v>214</v>
      </c>
      <c r="B149" s="102"/>
      <c r="C149" s="103"/>
      <c r="D149" s="11">
        <v>92</v>
      </c>
      <c r="E149" s="6">
        <v>282.75</v>
      </c>
      <c r="F149" s="6">
        <v>213.25</v>
      </c>
      <c r="G149" s="6">
        <v>257</v>
      </c>
      <c r="H149" s="6">
        <v>190.75</v>
      </c>
      <c r="I149" s="6">
        <v>180</v>
      </c>
      <c r="J149" s="6">
        <v>161</v>
      </c>
      <c r="K149" s="150">
        <f t="shared" si="6"/>
        <v>1.1847222222222222</v>
      </c>
      <c r="L149" s="157">
        <f t="shared" si="7"/>
        <v>58.663540445486518</v>
      </c>
      <c r="M149" s="164">
        <f t="shared" si="8"/>
        <v>69.5</v>
      </c>
    </row>
    <row r="150" spans="1:13" x14ac:dyDescent="0.25">
      <c r="A150" s="101" t="s">
        <v>215</v>
      </c>
      <c r="B150" s="102"/>
      <c r="C150" s="103"/>
      <c r="D150" s="11">
        <v>93</v>
      </c>
      <c r="E150" s="6">
        <v>65.5</v>
      </c>
      <c r="F150" s="6">
        <v>49.25</v>
      </c>
      <c r="G150" s="6">
        <v>65.5</v>
      </c>
      <c r="H150" s="6">
        <v>49.25</v>
      </c>
      <c r="I150" s="6">
        <v>40</v>
      </c>
      <c r="J150" s="6">
        <v>40</v>
      </c>
      <c r="K150" s="150">
        <f t="shared" si="6"/>
        <v>1.23125</v>
      </c>
      <c r="L150" s="157">
        <f t="shared" si="7"/>
        <v>13.197969543147209</v>
      </c>
      <c r="M150" s="164">
        <f t="shared" si="8"/>
        <v>16.25</v>
      </c>
    </row>
    <row r="151" spans="1:13" x14ac:dyDescent="0.25">
      <c r="A151" s="101" t="s">
        <v>216</v>
      </c>
      <c r="B151" s="102"/>
      <c r="C151" s="103"/>
      <c r="D151" s="11">
        <v>94</v>
      </c>
      <c r="E151" s="6">
        <v>239.75</v>
      </c>
      <c r="F151" s="6">
        <v>203</v>
      </c>
      <c r="G151" s="6">
        <v>109</v>
      </c>
      <c r="H151" s="6">
        <v>91</v>
      </c>
      <c r="I151" s="6">
        <v>159</v>
      </c>
      <c r="J151" s="6">
        <v>69</v>
      </c>
      <c r="K151" s="150">
        <f t="shared" si="6"/>
        <v>1.2767295597484276</v>
      </c>
      <c r="L151" s="157">
        <f t="shared" si="7"/>
        <v>28.784482758620697</v>
      </c>
      <c r="M151" s="164">
        <f t="shared" si="8"/>
        <v>36.75</v>
      </c>
    </row>
    <row r="152" spans="1:13" x14ac:dyDescent="0.25">
      <c r="A152" s="101" t="s">
        <v>217</v>
      </c>
      <c r="B152" s="102"/>
      <c r="C152" s="103"/>
      <c r="D152" s="11">
        <v>95</v>
      </c>
      <c r="E152" s="6">
        <v>4</v>
      </c>
      <c r="F152" s="6">
        <v>3.75</v>
      </c>
      <c r="G152" s="6">
        <v>4</v>
      </c>
      <c r="H152" s="6">
        <v>3.75</v>
      </c>
      <c r="I152" s="6">
        <v>4</v>
      </c>
      <c r="J152" s="6">
        <v>4</v>
      </c>
      <c r="K152" s="150">
        <f t="shared" si="6"/>
        <v>0.9375</v>
      </c>
      <c r="L152" s="157">
        <f t="shared" si="7"/>
        <v>0.26666666666666661</v>
      </c>
      <c r="M152" s="164">
        <f t="shared" si="8"/>
        <v>0.25</v>
      </c>
    </row>
    <row r="153" spans="1:13" x14ac:dyDescent="0.25">
      <c r="A153" s="101" t="s">
        <v>218</v>
      </c>
      <c r="B153" s="102"/>
      <c r="C153" s="103"/>
      <c r="D153" s="11">
        <v>96</v>
      </c>
      <c r="E153" s="6">
        <v>1</v>
      </c>
      <c r="F153" s="6">
        <v>1</v>
      </c>
      <c r="G153" s="6">
        <v>1</v>
      </c>
      <c r="H153" s="6">
        <v>1</v>
      </c>
      <c r="I153" s="6">
        <v>1</v>
      </c>
      <c r="J153" s="6">
        <v>1</v>
      </c>
      <c r="K153" s="150">
        <f t="shared" si="6"/>
        <v>1</v>
      </c>
      <c r="L153" s="157"/>
      <c r="M153" s="164"/>
    </row>
    <row r="154" spans="1:13" x14ac:dyDescent="0.25">
      <c r="A154" s="101" t="s">
        <v>219</v>
      </c>
      <c r="B154" s="102"/>
      <c r="C154" s="103"/>
      <c r="D154" s="11">
        <v>97</v>
      </c>
      <c r="E154" s="6">
        <v>513.25</v>
      </c>
      <c r="F154" s="6">
        <v>430</v>
      </c>
      <c r="G154" s="6">
        <v>224.25</v>
      </c>
      <c r="H154" s="6">
        <v>196.25</v>
      </c>
      <c r="I154" s="6">
        <v>329</v>
      </c>
      <c r="J154" s="6">
        <v>143</v>
      </c>
      <c r="K154" s="150">
        <f t="shared" si="6"/>
        <v>1.3069908814589666</v>
      </c>
      <c r="L154" s="157">
        <f t="shared" si="7"/>
        <v>63.695930232558112</v>
      </c>
      <c r="M154" s="164">
        <f t="shared" si="8"/>
        <v>83.25</v>
      </c>
    </row>
    <row r="155" spans="1:13" x14ac:dyDescent="0.25">
      <c r="A155" s="130" t="s">
        <v>220</v>
      </c>
      <c r="B155" s="130"/>
      <c r="C155" s="130"/>
      <c r="D155" s="6">
        <v>98</v>
      </c>
      <c r="E155" s="6">
        <v>33.75</v>
      </c>
      <c r="F155" s="6">
        <v>28.75</v>
      </c>
      <c r="G155" s="6"/>
      <c r="H155" s="6"/>
      <c r="I155" s="6">
        <v>21</v>
      </c>
      <c r="J155" s="6"/>
      <c r="K155" s="150">
        <f t="shared" si="6"/>
        <v>1.3690476190476191</v>
      </c>
      <c r="L155" s="157">
        <f t="shared" si="7"/>
        <v>3.6521739130434767</v>
      </c>
      <c r="M155" s="164">
        <f t="shared" si="8"/>
        <v>5</v>
      </c>
    </row>
    <row r="156" spans="1:13" x14ac:dyDescent="0.25">
      <c r="A156" s="130" t="s">
        <v>221</v>
      </c>
      <c r="B156" s="130"/>
      <c r="C156" s="130"/>
      <c r="D156" s="6">
        <v>99</v>
      </c>
      <c r="E156" s="6">
        <v>100.25</v>
      </c>
      <c r="F156" s="6">
        <v>83.5</v>
      </c>
      <c r="G156" s="6">
        <v>30.75</v>
      </c>
      <c r="H156" s="6">
        <v>27.75</v>
      </c>
      <c r="I156" s="6">
        <v>73</v>
      </c>
      <c r="J156" s="6">
        <v>24</v>
      </c>
      <c r="K156" s="150">
        <f t="shared" si="6"/>
        <v>1.1438356164383561</v>
      </c>
      <c r="L156" s="157">
        <f t="shared" si="7"/>
        <v>14.643712574850312</v>
      </c>
      <c r="M156" s="164">
        <f t="shared" si="8"/>
        <v>16.75</v>
      </c>
    </row>
    <row r="157" spans="1:13" x14ac:dyDescent="0.25">
      <c r="A157" s="130" t="s">
        <v>222</v>
      </c>
      <c r="B157" s="130"/>
      <c r="C157" s="130"/>
      <c r="D157" s="6">
        <v>100</v>
      </c>
      <c r="E157" s="6">
        <v>121.75</v>
      </c>
      <c r="F157" s="6">
        <v>103.5</v>
      </c>
      <c r="G157" s="6">
        <v>23</v>
      </c>
      <c r="H157" s="6">
        <v>22</v>
      </c>
      <c r="I157" s="6">
        <v>100</v>
      </c>
      <c r="J157" s="6">
        <v>21</v>
      </c>
      <c r="K157" s="150">
        <f t="shared" si="6"/>
        <v>1.0349999999999999</v>
      </c>
      <c r="L157" s="157">
        <f t="shared" si="7"/>
        <v>17.63285024154591</v>
      </c>
      <c r="M157" s="164">
        <f t="shared" si="8"/>
        <v>18.25</v>
      </c>
    </row>
    <row r="158" spans="1:13" x14ac:dyDescent="0.25">
      <c r="A158" s="130" t="s">
        <v>223</v>
      </c>
      <c r="B158" s="130"/>
      <c r="C158" s="130"/>
      <c r="D158" s="6">
        <v>101</v>
      </c>
      <c r="E158" s="6">
        <v>120.25</v>
      </c>
      <c r="F158" s="6">
        <v>96</v>
      </c>
      <c r="G158" s="6">
        <v>42.75</v>
      </c>
      <c r="H158" s="6">
        <v>39.25</v>
      </c>
      <c r="I158" s="6">
        <v>81</v>
      </c>
      <c r="J158" s="6">
        <v>37</v>
      </c>
      <c r="K158" s="150">
        <f t="shared" si="6"/>
        <v>1.1851851851851851</v>
      </c>
      <c r="L158" s="157">
        <f t="shared" si="7"/>
        <v>20.4609375</v>
      </c>
      <c r="M158" s="164">
        <f t="shared" si="8"/>
        <v>24.25</v>
      </c>
    </row>
    <row r="159" spans="1:13" x14ac:dyDescent="0.25">
      <c r="A159" s="130" t="s">
        <v>224</v>
      </c>
      <c r="B159" s="130"/>
      <c r="C159" s="130"/>
      <c r="D159" s="6">
        <v>102</v>
      </c>
      <c r="E159" s="6">
        <v>5483</v>
      </c>
      <c r="F159" s="6">
        <v>4181</v>
      </c>
      <c r="G159" s="6">
        <v>700.75</v>
      </c>
      <c r="H159" s="6">
        <v>531</v>
      </c>
      <c r="I159" s="6">
        <v>3085</v>
      </c>
      <c r="J159" s="6">
        <v>394</v>
      </c>
      <c r="K159" s="150">
        <f t="shared" si="6"/>
        <v>1.3552674230145867</v>
      </c>
      <c r="L159" s="157">
        <f t="shared" si="7"/>
        <v>960.69600574025344</v>
      </c>
      <c r="M159" s="164">
        <f t="shared" si="8"/>
        <v>1302</v>
      </c>
    </row>
    <row r="160" spans="1:13" x14ac:dyDescent="0.25">
      <c r="A160" s="130" t="s">
        <v>225</v>
      </c>
      <c r="B160" s="130"/>
      <c r="C160" s="130"/>
      <c r="D160" s="6">
        <v>103</v>
      </c>
      <c r="E160" s="6">
        <v>4604.5</v>
      </c>
      <c r="F160" s="6">
        <v>3240</v>
      </c>
      <c r="G160" s="6">
        <v>1307.75</v>
      </c>
      <c r="H160" s="6">
        <v>1017.25</v>
      </c>
      <c r="I160" s="6">
        <v>2756</v>
      </c>
      <c r="J160" s="6">
        <v>876</v>
      </c>
      <c r="K160" s="150">
        <f t="shared" si="6"/>
        <v>1.1756168359941945</v>
      </c>
      <c r="L160" s="157">
        <f t="shared" si="7"/>
        <v>1160.6672839506173</v>
      </c>
      <c r="M160" s="164">
        <f t="shared" si="8"/>
        <v>1364.5</v>
      </c>
    </row>
    <row r="161" spans="1:13" x14ac:dyDescent="0.25">
      <c r="A161" s="101" t="s">
        <v>198</v>
      </c>
      <c r="B161" s="102"/>
      <c r="C161" s="103"/>
      <c r="D161" s="6" t="s">
        <v>226</v>
      </c>
      <c r="E161" s="6">
        <v>16.25</v>
      </c>
      <c r="F161" s="6">
        <v>16</v>
      </c>
      <c r="G161" s="6">
        <v>16.25</v>
      </c>
      <c r="H161" s="6">
        <v>15.5</v>
      </c>
      <c r="I161" s="6">
        <v>11</v>
      </c>
      <c r="J161" s="6">
        <v>11</v>
      </c>
      <c r="K161" s="150">
        <f t="shared" si="6"/>
        <v>1.4545454545454546</v>
      </c>
      <c r="L161" s="157">
        <f t="shared" si="7"/>
        <v>0.171875</v>
      </c>
      <c r="M161" s="164">
        <f t="shared" si="8"/>
        <v>0.25</v>
      </c>
    </row>
    <row r="162" spans="1:13" x14ac:dyDescent="0.25">
      <c r="A162" s="130" t="s">
        <v>227</v>
      </c>
      <c r="B162" s="130"/>
      <c r="C162" s="130"/>
      <c r="D162" s="6">
        <v>104</v>
      </c>
      <c r="E162" s="6">
        <v>29665</v>
      </c>
      <c r="F162" s="6">
        <v>23086</v>
      </c>
      <c r="G162" s="6">
        <v>9940.5</v>
      </c>
      <c r="H162" s="6">
        <v>8048.75</v>
      </c>
      <c r="I162" s="6">
        <v>18256</v>
      </c>
      <c r="J162" s="6">
        <v>6519</v>
      </c>
      <c r="K162" s="150">
        <f t="shared" si="6"/>
        <v>1.2645705521472392</v>
      </c>
      <c r="L162" s="157">
        <f t="shared" si="7"/>
        <v>5202.5567010309278</v>
      </c>
      <c r="M162" s="164">
        <f t="shared" si="8"/>
        <v>6579</v>
      </c>
    </row>
    <row r="163" spans="1:13" x14ac:dyDescent="0.25">
      <c r="K163" s="21"/>
    </row>
    <row r="164" spans="1:13" x14ac:dyDescent="0.25">
      <c r="K164" s="21"/>
    </row>
    <row r="165" spans="1:13" x14ac:dyDescent="0.25">
      <c r="K165" s="21"/>
    </row>
    <row r="166" spans="1:13" x14ac:dyDescent="0.25">
      <c r="K166" s="21"/>
    </row>
    <row r="167" spans="1:13" x14ac:dyDescent="0.25">
      <c r="K167" s="21"/>
    </row>
    <row r="168" spans="1:13" x14ac:dyDescent="0.25">
      <c r="K168" s="21"/>
    </row>
    <row r="169" spans="1:13" x14ac:dyDescent="0.25">
      <c r="K169" s="21"/>
    </row>
    <row r="170" spans="1:13" x14ac:dyDescent="0.25">
      <c r="K170" s="21"/>
    </row>
    <row r="171" spans="1:13" x14ac:dyDescent="0.25">
      <c r="K171" s="21"/>
    </row>
  </sheetData>
  <mergeCells count="193">
    <mergeCell ref="B1:I1"/>
    <mergeCell ref="A2:C3"/>
    <mergeCell ref="D2:D3"/>
    <mergeCell ref="E2:F2"/>
    <mergeCell ref="G2:H2"/>
    <mergeCell ref="I2:J2"/>
    <mergeCell ref="F7:F8"/>
    <mergeCell ref="G7:G8"/>
    <mergeCell ref="H7:H8"/>
    <mergeCell ref="I7:I8"/>
    <mergeCell ref="J7:J8"/>
    <mergeCell ref="A9:C9"/>
    <mergeCell ref="A4:C4"/>
    <mergeCell ref="A5:C5"/>
    <mergeCell ref="A6:C6"/>
    <mergeCell ref="A7:C8"/>
    <mergeCell ref="D7:D8"/>
    <mergeCell ref="E7:E8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G36:G37"/>
    <mergeCell ref="H36:H37"/>
    <mergeCell ref="I36:I37"/>
    <mergeCell ref="J36:J37"/>
    <mergeCell ref="A37:C37"/>
    <mergeCell ref="A38:C38"/>
    <mergeCell ref="A34:C34"/>
    <mergeCell ref="A35:C35"/>
    <mergeCell ref="A36:C36"/>
    <mergeCell ref="D36:D37"/>
    <mergeCell ref="E36:E37"/>
    <mergeCell ref="F36:F37"/>
    <mergeCell ref="A45:C45"/>
    <mergeCell ref="A46:C46"/>
    <mergeCell ref="A47:C47"/>
    <mergeCell ref="A48:C48"/>
    <mergeCell ref="A49:C49"/>
    <mergeCell ref="A50:C50"/>
    <mergeCell ref="A39:C39"/>
    <mergeCell ref="A40:C40"/>
    <mergeCell ref="A41:C41"/>
    <mergeCell ref="A42:C42"/>
    <mergeCell ref="A43:C43"/>
    <mergeCell ref="A44:C44"/>
    <mergeCell ref="A57:C57"/>
    <mergeCell ref="A58:C58"/>
    <mergeCell ref="A59:C59"/>
    <mergeCell ref="A60:C60"/>
    <mergeCell ref="A61:C61"/>
    <mergeCell ref="A62:C62"/>
    <mergeCell ref="A51:C51"/>
    <mergeCell ref="A52:C52"/>
    <mergeCell ref="A53:C53"/>
    <mergeCell ref="A54:C54"/>
    <mergeCell ref="A55:C55"/>
    <mergeCell ref="A56:C56"/>
    <mergeCell ref="A69:C69"/>
    <mergeCell ref="A70:C70"/>
    <mergeCell ref="A71:C71"/>
    <mergeCell ref="A72:C72"/>
    <mergeCell ref="A73:C73"/>
    <mergeCell ref="A74:C74"/>
    <mergeCell ref="A63:C63"/>
    <mergeCell ref="A64:C64"/>
    <mergeCell ref="A65:C65"/>
    <mergeCell ref="A66:C66"/>
    <mergeCell ref="A67:C67"/>
    <mergeCell ref="A68:C68"/>
    <mergeCell ref="A81:C81"/>
    <mergeCell ref="A82:C82"/>
    <mergeCell ref="A83:C83"/>
    <mergeCell ref="A84:C84"/>
    <mergeCell ref="A85:C85"/>
    <mergeCell ref="A86:C86"/>
    <mergeCell ref="A75:C75"/>
    <mergeCell ref="A76:C76"/>
    <mergeCell ref="A77:C77"/>
    <mergeCell ref="A78:C78"/>
    <mergeCell ref="A79:C79"/>
    <mergeCell ref="A80:C80"/>
    <mergeCell ref="A93:C93"/>
    <mergeCell ref="A94:C94"/>
    <mergeCell ref="A95:C95"/>
    <mergeCell ref="A96:C96"/>
    <mergeCell ref="A97:C97"/>
    <mergeCell ref="A98:C98"/>
    <mergeCell ref="A87:C87"/>
    <mergeCell ref="A88:C88"/>
    <mergeCell ref="A89:C89"/>
    <mergeCell ref="A90:C90"/>
    <mergeCell ref="A91:C91"/>
    <mergeCell ref="A92:C92"/>
    <mergeCell ref="A105:C105"/>
    <mergeCell ref="A106:C106"/>
    <mergeCell ref="A107:C107"/>
    <mergeCell ref="A108:C108"/>
    <mergeCell ref="A109:C109"/>
    <mergeCell ref="A110:C110"/>
    <mergeCell ref="A99:C99"/>
    <mergeCell ref="A100:C100"/>
    <mergeCell ref="A101:C101"/>
    <mergeCell ref="A102:C102"/>
    <mergeCell ref="A103:C103"/>
    <mergeCell ref="A104:C104"/>
    <mergeCell ref="A117:C117"/>
    <mergeCell ref="A118:C118"/>
    <mergeCell ref="A119:C119"/>
    <mergeCell ref="A120:C120"/>
    <mergeCell ref="A121:C121"/>
    <mergeCell ref="A122:C122"/>
    <mergeCell ref="A111:C111"/>
    <mergeCell ref="A112:C112"/>
    <mergeCell ref="A113:C113"/>
    <mergeCell ref="A114:C114"/>
    <mergeCell ref="A115:C115"/>
    <mergeCell ref="A116:C116"/>
    <mergeCell ref="A129:C129"/>
    <mergeCell ref="A130:C131"/>
    <mergeCell ref="D130:D131"/>
    <mergeCell ref="E130:E131"/>
    <mergeCell ref="F130:F131"/>
    <mergeCell ref="G130:G131"/>
    <mergeCell ref="A123:C123"/>
    <mergeCell ref="A124:C124"/>
    <mergeCell ref="A125:C125"/>
    <mergeCell ref="A126:C126"/>
    <mergeCell ref="A127:C127"/>
    <mergeCell ref="A128:C128"/>
    <mergeCell ref="A162:C162"/>
    <mergeCell ref="A153:C153"/>
    <mergeCell ref="A154:C154"/>
    <mergeCell ref="A155:C155"/>
    <mergeCell ref="A156:C156"/>
    <mergeCell ref="A157:C157"/>
    <mergeCell ref="A158:C158"/>
    <mergeCell ref="A147:C147"/>
    <mergeCell ref="A148:C148"/>
    <mergeCell ref="A149:C149"/>
    <mergeCell ref="A150:C150"/>
    <mergeCell ref="A151:C151"/>
    <mergeCell ref="A152:C152"/>
    <mergeCell ref="A135:C135"/>
    <mergeCell ref="A136:C136"/>
    <mergeCell ref="A137:C137"/>
    <mergeCell ref="A138:C138"/>
    <mergeCell ref="A139:C139"/>
    <mergeCell ref="A140:C140"/>
    <mergeCell ref="H130:H131"/>
    <mergeCell ref="I130:I131"/>
    <mergeCell ref="J130:J131"/>
    <mergeCell ref="A132:C132"/>
    <mergeCell ref="A133:C133"/>
    <mergeCell ref="A134:C134"/>
    <mergeCell ref="A159:C159"/>
    <mergeCell ref="A160:C160"/>
    <mergeCell ref="A161:C161"/>
    <mergeCell ref="A141:C141"/>
    <mergeCell ref="A142:C142"/>
    <mergeCell ref="A143:C143"/>
    <mergeCell ref="A144:C144"/>
    <mergeCell ref="A145:C145"/>
    <mergeCell ref="A146:C146"/>
    <mergeCell ref="K2:K3"/>
    <mergeCell ref="L2:L3"/>
    <mergeCell ref="M2:M3"/>
    <mergeCell ref="K7:K8"/>
    <mergeCell ref="L7:L8"/>
    <mergeCell ref="M7:M8"/>
    <mergeCell ref="K130:K131"/>
    <mergeCell ref="L130:L131"/>
    <mergeCell ref="M130:M1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M162"/>
  <sheetViews>
    <sheetView workbookViewId="0">
      <selection activeCell="O6" sqref="O6:O7"/>
    </sheetView>
  </sheetViews>
  <sheetFormatPr defaultRowHeight="15" x14ac:dyDescent="0.25"/>
  <cols>
    <col min="11" max="11" width="16.85546875" customWidth="1"/>
    <col min="12" max="12" width="12.42578125" customWidth="1"/>
    <col min="13" max="13" width="17" customWidth="1"/>
  </cols>
  <sheetData>
    <row r="1" spans="1:13" x14ac:dyDescent="0.25">
      <c r="A1" s="45">
        <v>1100</v>
      </c>
      <c r="B1" s="137" t="s">
        <v>228</v>
      </c>
      <c r="C1" s="137"/>
      <c r="D1" s="137"/>
      <c r="E1" s="137"/>
      <c r="F1" s="137"/>
      <c r="G1" s="137"/>
      <c r="H1" s="137"/>
      <c r="I1" s="137"/>
    </row>
    <row r="2" spans="1:13" ht="68.25" customHeight="1" x14ac:dyDescent="0.25">
      <c r="A2" s="65" t="s">
        <v>0</v>
      </c>
      <c r="B2" s="66"/>
      <c r="C2" s="66"/>
      <c r="D2" s="69" t="s">
        <v>1</v>
      </c>
      <c r="E2" s="71" t="s">
        <v>2</v>
      </c>
      <c r="F2" s="72"/>
      <c r="G2" s="73" t="s">
        <v>3</v>
      </c>
      <c r="H2" s="74"/>
      <c r="I2" s="75" t="s">
        <v>4</v>
      </c>
      <c r="J2" s="75"/>
      <c r="K2" s="147" t="s">
        <v>229</v>
      </c>
      <c r="L2" s="154" t="s">
        <v>230</v>
      </c>
      <c r="M2" s="161" t="s">
        <v>231</v>
      </c>
    </row>
    <row r="3" spans="1:13" ht="89.25" x14ac:dyDescent="0.25">
      <c r="A3" s="67"/>
      <c r="B3" s="68"/>
      <c r="C3" s="68"/>
      <c r="D3" s="70"/>
      <c r="E3" s="34" t="s">
        <v>5</v>
      </c>
      <c r="F3" s="34" t="s">
        <v>6</v>
      </c>
      <c r="G3" s="34" t="s">
        <v>5</v>
      </c>
      <c r="H3" s="34" t="s">
        <v>7</v>
      </c>
      <c r="I3" s="27" t="s">
        <v>8</v>
      </c>
      <c r="J3" s="27" t="s">
        <v>9</v>
      </c>
      <c r="K3" s="148"/>
      <c r="L3" s="155"/>
      <c r="M3" s="162"/>
    </row>
    <row r="4" spans="1:13" x14ac:dyDescent="0.25">
      <c r="A4" s="83" t="s">
        <v>10</v>
      </c>
      <c r="B4" s="84"/>
      <c r="C4" s="85"/>
      <c r="D4" s="25" t="s">
        <v>11</v>
      </c>
      <c r="E4" s="28">
        <v>1</v>
      </c>
      <c r="F4" s="28">
        <v>2</v>
      </c>
      <c r="G4" s="28">
        <v>3</v>
      </c>
      <c r="H4" s="28">
        <v>4</v>
      </c>
      <c r="I4" s="28">
        <v>5</v>
      </c>
      <c r="J4" s="28">
        <v>6</v>
      </c>
      <c r="K4" s="149">
        <v>7</v>
      </c>
      <c r="L4" s="156">
        <v>8</v>
      </c>
      <c r="M4" s="163">
        <v>9</v>
      </c>
    </row>
    <row r="5" spans="1:13" x14ac:dyDescent="0.25">
      <c r="A5" s="86" t="s">
        <v>12</v>
      </c>
      <c r="B5" s="87"/>
      <c r="C5" s="88"/>
      <c r="D5" s="56" t="s">
        <v>13</v>
      </c>
      <c r="E5" s="57">
        <v>8091</v>
      </c>
      <c r="F5" s="57">
        <v>7646.75</v>
      </c>
      <c r="G5" s="57">
        <v>4004</v>
      </c>
      <c r="H5" s="57">
        <v>3898</v>
      </c>
      <c r="I5" s="57">
        <v>5792</v>
      </c>
      <c r="J5" s="57">
        <v>2998</v>
      </c>
      <c r="K5" s="168">
        <f>F5/I5</f>
        <v>1.3202261740331491</v>
      </c>
      <c r="L5" s="170">
        <f>E5/K5-I5</f>
        <v>336.49537385163694</v>
      </c>
      <c r="M5" s="173">
        <f>E5-F5</f>
        <v>444.25</v>
      </c>
    </row>
    <row r="6" spans="1:13" x14ac:dyDescent="0.25">
      <c r="A6" s="89" t="s">
        <v>14</v>
      </c>
      <c r="B6" s="90"/>
      <c r="C6" s="91"/>
      <c r="D6" s="29" t="s">
        <v>15</v>
      </c>
      <c r="E6" s="29">
        <v>90.5</v>
      </c>
      <c r="F6" s="28">
        <v>86.5</v>
      </c>
      <c r="G6" s="28">
        <v>38</v>
      </c>
      <c r="H6" s="28">
        <v>38</v>
      </c>
      <c r="I6" s="28">
        <v>91</v>
      </c>
      <c r="J6" s="28">
        <v>39</v>
      </c>
      <c r="K6" s="150">
        <f t="shared" ref="K6:K69" si="0">F6/I6</f>
        <v>0.9505494505494505</v>
      </c>
      <c r="L6" s="171">
        <f t="shared" ref="L6:L69" si="1">E6/K6-I6</f>
        <v>4.2080924855491446</v>
      </c>
      <c r="M6" s="174">
        <f t="shared" ref="M6:M69" si="2">E6-F6</f>
        <v>4</v>
      </c>
    </row>
    <row r="7" spans="1:13" x14ac:dyDescent="0.25">
      <c r="A7" s="92" t="s">
        <v>16</v>
      </c>
      <c r="B7" s="93"/>
      <c r="C7" s="94"/>
      <c r="D7" s="136" t="s">
        <v>17</v>
      </c>
      <c r="E7" s="136">
        <v>162</v>
      </c>
      <c r="F7" s="98">
        <v>159.5</v>
      </c>
      <c r="G7" s="112">
        <v>80</v>
      </c>
      <c r="H7" s="98">
        <v>79</v>
      </c>
      <c r="I7" s="98">
        <v>155</v>
      </c>
      <c r="J7" s="98">
        <v>78</v>
      </c>
      <c r="K7" s="169">
        <f t="shared" si="0"/>
        <v>1.0290322580645161</v>
      </c>
      <c r="L7" s="172">
        <f t="shared" si="1"/>
        <v>2.4294670846394979</v>
      </c>
      <c r="M7" s="175">
        <f t="shared" si="2"/>
        <v>2.5</v>
      </c>
    </row>
    <row r="8" spans="1:13" x14ac:dyDescent="0.25">
      <c r="A8" s="95"/>
      <c r="B8" s="96"/>
      <c r="C8" s="97"/>
      <c r="D8" s="136"/>
      <c r="E8" s="136"/>
      <c r="F8" s="98"/>
      <c r="G8" s="113"/>
      <c r="H8" s="98"/>
      <c r="I8" s="98"/>
      <c r="J8" s="98"/>
      <c r="K8" s="169"/>
      <c r="L8" s="172"/>
      <c r="M8" s="175"/>
    </row>
    <row r="9" spans="1:13" x14ac:dyDescent="0.25">
      <c r="A9" s="80" t="s">
        <v>18</v>
      </c>
      <c r="B9" s="81"/>
      <c r="C9" s="82"/>
      <c r="D9" s="29" t="s">
        <v>19</v>
      </c>
      <c r="E9" s="29">
        <v>15.5</v>
      </c>
      <c r="F9" s="28">
        <v>11</v>
      </c>
      <c r="G9" s="28">
        <v>3</v>
      </c>
      <c r="H9" s="28">
        <v>3</v>
      </c>
      <c r="I9" s="28">
        <v>9</v>
      </c>
      <c r="J9" s="28">
        <v>3</v>
      </c>
      <c r="K9" s="150">
        <f t="shared" si="0"/>
        <v>1.2222222222222223</v>
      </c>
      <c r="L9" s="171">
        <f t="shared" si="1"/>
        <v>3.6818181818181817</v>
      </c>
      <c r="M9" s="174">
        <f t="shared" si="2"/>
        <v>4.5</v>
      </c>
    </row>
    <row r="10" spans="1:13" x14ac:dyDescent="0.25">
      <c r="A10" s="104" t="s">
        <v>20</v>
      </c>
      <c r="B10" s="104"/>
      <c r="C10" s="104"/>
      <c r="D10" s="29" t="s">
        <v>21</v>
      </c>
      <c r="E10" s="29">
        <v>471</v>
      </c>
      <c r="F10" s="28">
        <v>435</v>
      </c>
      <c r="G10" s="28">
        <v>308.75</v>
      </c>
      <c r="H10" s="28">
        <v>289.5</v>
      </c>
      <c r="I10" s="28">
        <v>314</v>
      </c>
      <c r="J10" s="28">
        <v>208</v>
      </c>
      <c r="K10" s="150">
        <f t="shared" si="0"/>
        <v>1.3853503184713376</v>
      </c>
      <c r="L10" s="171">
        <f t="shared" si="1"/>
        <v>25.986206896551721</v>
      </c>
      <c r="M10" s="174">
        <f t="shared" si="2"/>
        <v>36</v>
      </c>
    </row>
    <row r="11" spans="1:13" x14ac:dyDescent="0.25">
      <c r="A11" s="105" t="s">
        <v>22</v>
      </c>
      <c r="B11" s="106"/>
      <c r="C11" s="107"/>
      <c r="D11" s="39" t="s">
        <v>23</v>
      </c>
      <c r="E11" s="39">
        <v>90.5</v>
      </c>
      <c r="F11" s="31">
        <v>82</v>
      </c>
      <c r="G11" s="31">
        <v>90.5</v>
      </c>
      <c r="H11" s="31">
        <v>82</v>
      </c>
      <c r="I11" s="31">
        <v>73</v>
      </c>
      <c r="J11" s="31">
        <v>73</v>
      </c>
      <c r="K11" s="150">
        <f t="shared" si="0"/>
        <v>1.1232876712328768</v>
      </c>
      <c r="L11" s="171">
        <f t="shared" si="1"/>
        <v>7.5670731707317032</v>
      </c>
      <c r="M11" s="174">
        <f t="shared" si="2"/>
        <v>8.5</v>
      </c>
    </row>
    <row r="12" spans="1:13" x14ac:dyDescent="0.25">
      <c r="A12" s="101" t="s">
        <v>24</v>
      </c>
      <c r="B12" s="102"/>
      <c r="C12" s="103"/>
      <c r="D12" s="35" t="s">
        <v>25</v>
      </c>
      <c r="E12" s="29"/>
      <c r="F12" s="28"/>
      <c r="G12" s="28"/>
      <c r="H12" s="28"/>
      <c r="I12" s="28"/>
      <c r="J12" s="28"/>
      <c r="K12" s="150"/>
      <c r="L12" s="171"/>
      <c r="M12" s="174"/>
    </row>
    <row r="13" spans="1:13" x14ac:dyDescent="0.25">
      <c r="A13" s="101" t="s">
        <v>26</v>
      </c>
      <c r="B13" s="102"/>
      <c r="C13" s="103"/>
      <c r="D13" s="33" t="s">
        <v>27</v>
      </c>
      <c r="E13" s="29">
        <v>2</v>
      </c>
      <c r="F13" s="28">
        <v>2</v>
      </c>
      <c r="G13" s="28">
        <v>2</v>
      </c>
      <c r="H13" s="28">
        <v>2</v>
      </c>
      <c r="I13" s="28">
        <v>2</v>
      </c>
      <c r="J13" s="28">
        <v>2</v>
      </c>
      <c r="K13" s="150">
        <f t="shared" si="0"/>
        <v>1</v>
      </c>
      <c r="L13" s="171"/>
      <c r="M13" s="174"/>
    </row>
    <row r="14" spans="1:13" x14ac:dyDescent="0.25">
      <c r="A14" s="89" t="s">
        <v>28</v>
      </c>
      <c r="B14" s="90"/>
      <c r="C14" s="91"/>
      <c r="D14" s="29" t="s">
        <v>29</v>
      </c>
      <c r="E14" s="29">
        <v>6.5</v>
      </c>
      <c r="F14" s="28">
        <v>3.5</v>
      </c>
      <c r="G14" s="28"/>
      <c r="H14" s="28"/>
      <c r="I14" s="28">
        <v>3</v>
      </c>
      <c r="J14" s="28"/>
      <c r="K14" s="150">
        <f t="shared" si="0"/>
        <v>1.1666666666666667</v>
      </c>
      <c r="L14" s="171">
        <f t="shared" si="1"/>
        <v>2.5714285714285712</v>
      </c>
      <c r="M14" s="174">
        <f t="shared" si="2"/>
        <v>3</v>
      </c>
    </row>
    <row r="15" spans="1:13" x14ac:dyDescent="0.25">
      <c r="A15" s="101" t="s">
        <v>30</v>
      </c>
      <c r="B15" s="102"/>
      <c r="C15" s="103"/>
      <c r="D15" s="36" t="s">
        <v>31</v>
      </c>
      <c r="E15" s="29">
        <v>16.25</v>
      </c>
      <c r="F15" s="28">
        <v>13</v>
      </c>
      <c r="G15" s="28">
        <v>4.25</v>
      </c>
      <c r="H15" s="28">
        <v>4</v>
      </c>
      <c r="I15" s="28">
        <v>12</v>
      </c>
      <c r="J15" s="28">
        <v>3</v>
      </c>
      <c r="K15" s="150">
        <f t="shared" si="0"/>
        <v>1.0833333333333333</v>
      </c>
      <c r="L15" s="171">
        <f t="shared" si="1"/>
        <v>3.0000000000000018</v>
      </c>
      <c r="M15" s="174">
        <f t="shared" si="2"/>
        <v>3.25</v>
      </c>
    </row>
    <row r="16" spans="1:13" x14ac:dyDescent="0.25">
      <c r="A16" s="101" t="s">
        <v>32</v>
      </c>
      <c r="B16" s="102"/>
      <c r="C16" s="103"/>
      <c r="D16" s="33" t="s">
        <v>33</v>
      </c>
      <c r="E16" s="28">
        <v>7.75</v>
      </c>
      <c r="F16" s="28">
        <v>7</v>
      </c>
      <c r="G16" s="28">
        <v>2</v>
      </c>
      <c r="H16" s="28">
        <v>2</v>
      </c>
      <c r="I16" s="28">
        <v>7</v>
      </c>
      <c r="J16" s="28">
        <v>1</v>
      </c>
      <c r="K16" s="150">
        <f t="shared" si="0"/>
        <v>1</v>
      </c>
      <c r="L16" s="171">
        <f t="shared" si="1"/>
        <v>0.75</v>
      </c>
      <c r="M16" s="174">
        <f t="shared" si="2"/>
        <v>0.75</v>
      </c>
    </row>
    <row r="17" spans="1:13" x14ac:dyDescent="0.25">
      <c r="A17" s="101" t="s">
        <v>34</v>
      </c>
      <c r="B17" s="102"/>
      <c r="C17" s="103"/>
      <c r="D17" s="29" t="s">
        <v>35</v>
      </c>
      <c r="E17" s="29">
        <v>28</v>
      </c>
      <c r="F17" s="28">
        <v>27.5</v>
      </c>
      <c r="G17" s="28">
        <v>5.25</v>
      </c>
      <c r="H17" s="28">
        <v>4.75</v>
      </c>
      <c r="I17" s="28">
        <v>20</v>
      </c>
      <c r="J17" s="28">
        <v>2</v>
      </c>
      <c r="K17" s="150">
        <f t="shared" si="0"/>
        <v>1.375</v>
      </c>
      <c r="L17" s="171">
        <f t="shared" si="1"/>
        <v>0.36363636363636331</v>
      </c>
      <c r="M17" s="174">
        <f t="shared" si="2"/>
        <v>0.5</v>
      </c>
    </row>
    <row r="18" spans="1:13" x14ac:dyDescent="0.25">
      <c r="A18" s="101" t="s">
        <v>36</v>
      </c>
      <c r="B18" s="102"/>
      <c r="C18" s="103"/>
      <c r="D18" s="36" t="s">
        <v>37</v>
      </c>
      <c r="E18" s="29">
        <v>3</v>
      </c>
      <c r="F18" s="28">
        <v>2.5</v>
      </c>
      <c r="G18" s="28"/>
      <c r="H18" s="28"/>
      <c r="I18" s="28">
        <v>2</v>
      </c>
      <c r="J18" s="28"/>
      <c r="K18" s="150">
        <f t="shared" si="0"/>
        <v>1.25</v>
      </c>
      <c r="L18" s="171">
        <f t="shared" si="1"/>
        <v>0.39999999999999991</v>
      </c>
      <c r="M18" s="174">
        <f t="shared" si="2"/>
        <v>0.5</v>
      </c>
    </row>
    <row r="19" spans="1:13" x14ac:dyDescent="0.25">
      <c r="A19" s="101" t="s">
        <v>38</v>
      </c>
      <c r="B19" s="102"/>
      <c r="C19" s="103"/>
      <c r="D19" s="33" t="s">
        <v>39</v>
      </c>
      <c r="E19" s="29">
        <v>242.75</v>
      </c>
      <c r="F19" s="28">
        <v>235.25</v>
      </c>
      <c r="G19" s="28">
        <v>61.75</v>
      </c>
      <c r="H19" s="28">
        <v>60</v>
      </c>
      <c r="I19" s="28">
        <v>169</v>
      </c>
      <c r="J19" s="28">
        <v>52</v>
      </c>
      <c r="K19" s="150">
        <f t="shared" si="0"/>
        <v>1.3920118343195267</v>
      </c>
      <c r="L19" s="171">
        <f t="shared" si="1"/>
        <v>5.3878852284803429</v>
      </c>
      <c r="M19" s="174">
        <f t="shared" si="2"/>
        <v>7.5</v>
      </c>
    </row>
    <row r="20" spans="1:13" x14ac:dyDescent="0.25">
      <c r="A20" s="101" t="s">
        <v>40</v>
      </c>
      <c r="B20" s="102"/>
      <c r="C20" s="103"/>
      <c r="D20" s="33" t="s">
        <v>41</v>
      </c>
      <c r="E20" s="29">
        <v>32</v>
      </c>
      <c r="F20" s="28">
        <v>31</v>
      </c>
      <c r="G20" s="28">
        <v>0.5</v>
      </c>
      <c r="H20" s="28">
        <v>0.5</v>
      </c>
      <c r="I20" s="28">
        <v>20</v>
      </c>
      <c r="J20" s="28"/>
      <c r="K20" s="150">
        <f t="shared" si="0"/>
        <v>1.55</v>
      </c>
      <c r="L20" s="171">
        <f t="shared" si="1"/>
        <v>0.64516129032258007</v>
      </c>
      <c r="M20" s="174">
        <f t="shared" si="2"/>
        <v>1</v>
      </c>
    </row>
    <row r="21" spans="1:13" x14ac:dyDescent="0.25">
      <c r="A21" s="101" t="s">
        <v>42</v>
      </c>
      <c r="B21" s="102"/>
      <c r="C21" s="103"/>
      <c r="D21" s="32">
        <v>11</v>
      </c>
      <c r="E21" s="29">
        <v>18.25</v>
      </c>
      <c r="F21" s="28">
        <v>13.75</v>
      </c>
      <c r="G21" s="28">
        <v>5.75</v>
      </c>
      <c r="H21" s="28">
        <v>4.75</v>
      </c>
      <c r="I21" s="28">
        <v>8</v>
      </c>
      <c r="J21" s="28">
        <v>3</v>
      </c>
      <c r="K21" s="150">
        <f t="shared" si="0"/>
        <v>1.71875</v>
      </c>
      <c r="L21" s="171">
        <f t="shared" si="1"/>
        <v>2.6181818181818191</v>
      </c>
      <c r="M21" s="174">
        <f t="shared" si="2"/>
        <v>4.5</v>
      </c>
    </row>
    <row r="22" spans="1:13" x14ac:dyDescent="0.25">
      <c r="A22" s="101" t="s">
        <v>43</v>
      </c>
      <c r="B22" s="102"/>
      <c r="C22" s="103"/>
      <c r="D22" s="32">
        <v>12</v>
      </c>
      <c r="E22" s="28">
        <v>25.75</v>
      </c>
      <c r="F22" s="28">
        <v>23.5</v>
      </c>
      <c r="G22" s="28">
        <v>22.25</v>
      </c>
      <c r="H22" s="28">
        <v>20</v>
      </c>
      <c r="I22" s="28">
        <v>18</v>
      </c>
      <c r="J22" s="28">
        <v>14</v>
      </c>
      <c r="K22" s="150">
        <f t="shared" si="0"/>
        <v>1.3055555555555556</v>
      </c>
      <c r="L22" s="171">
        <f t="shared" si="1"/>
        <v>1.7234042553191493</v>
      </c>
      <c r="M22" s="174">
        <f t="shared" si="2"/>
        <v>2.25</v>
      </c>
    </row>
    <row r="23" spans="1:13" x14ac:dyDescent="0.25">
      <c r="A23" s="101" t="s">
        <v>44</v>
      </c>
      <c r="B23" s="102"/>
      <c r="C23" s="103"/>
      <c r="D23" s="37">
        <v>13</v>
      </c>
      <c r="E23" s="28">
        <v>3.75</v>
      </c>
      <c r="F23" s="28">
        <v>3</v>
      </c>
      <c r="G23" s="28">
        <v>1.75</v>
      </c>
      <c r="H23" s="28">
        <v>1.75</v>
      </c>
      <c r="I23" s="28">
        <v>1</v>
      </c>
      <c r="J23" s="28">
        <v>1</v>
      </c>
      <c r="K23" s="150">
        <f t="shared" si="0"/>
        <v>3</v>
      </c>
      <c r="L23" s="171">
        <f t="shared" si="1"/>
        <v>0.25</v>
      </c>
      <c r="M23" s="174">
        <f t="shared" si="2"/>
        <v>0.75</v>
      </c>
    </row>
    <row r="24" spans="1:13" x14ac:dyDescent="0.25">
      <c r="A24" s="101" t="s">
        <v>45</v>
      </c>
      <c r="B24" s="102"/>
      <c r="C24" s="103"/>
      <c r="D24" s="32">
        <v>14</v>
      </c>
      <c r="E24" s="28">
        <v>32.25</v>
      </c>
      <c r="F24" s="28">
        <v>31.25</v>
      </c>
      <c r="G24" s="28">
        <v>7.5</v>
      </c>
      <c r="H24" s="28">
        <v>7.25</v>
      </c>
      <c r="I24" s="28">
        <v>21</v>
      </c>
      <c r="J24" s="28">
        <v>3</v>
      </c>
      <c r="K24" s="150">
        <f t="shared" si="0"/>
        <v>1.4880952380952381</v>
      </c>
      <c r="L24" s="171">
        <f t="shared" si="1"/>
        <v>0.6720000000000006</v>
      </c>
      <c r="M24" s="174">
        <f t="shared" si="2"/>
        <v>1</v>
      </c>
    </row>
    <row r="25" spans="1:13" x14ac:dyDescent="0.25">
      <c r="A25" s="101" t="s">
        <v>46</v>
      </c>
      <c r="B25" s="102"/>
      <c r="C25" s="103"/>
      <c r="D25" s="32">
        <v>15</v>
      </c>
      <c r="E25" s="28">
        <v>8.75</v>
      </c>
      <c r="F25" s="28">
        <v>8.75</v>
      </c>
      <c r="G25" s="28">
        <v>0.75</v>
      </c>
      <c r="H25" s="28">
        <v>0.75</v>
      </c>
      <c r="I25" s="28">
        <v>5</v>
      </c>
      <c r="J25" s="28"/>
      <c r="K25" s="150">
        <f t="shared" si="0"/>
        <v>1.75</v>
      </c>
      <c r="L25" s="171">
        <f t="shared" si="1"/>
        <v>0</v>
      </c>
      <c r="M25" s="174">
        <f t="shared" si="2"/>
        <v>0</v>
      </c>
    </row>
    <row r="26" spans="1:13" x14ac:dyDescent="0.25">
      <c r="A26" s="101" t="s">
        <v>47</v>
      </c>
      <c r="B26" s="102"/>
      <c r="C26" s="103"/>
      <c r="D26" s="38">
        <v>16</v>
      </c>
      <c r="E26" s="28">
        <v>87.75</v>
      </c>
      <c r="F26" s="28">
        <v>86.25</v>
      </c>
      <c r="G26" s="28">
        <v>66.25</v>
      </c>
      <c r="H26" s="28">
        <v>66.25</v>
      </c>
      <c r="I26" s="28">
        <v>67</v>
      </c>
      <c r="J26" s="28">
        <v>52</v>
      </c>
      <c r="K26" s="150">
        <f t="shared" si="0"/>
        <v>1.2873134328358209</v>
      </c>
      <c r="L26" s="171">
        <f t="shared" si="1"/>
        <v>1.1652173913043526</v>
      </c>
      <c r="M26" s="174">
        <f t="shared" si="2"/>
        <v>1.5</v>
      </c>
    </row>
    <row r="27" spans="1:13" x14ac:dyDescent="0.25">
      <c r="A27" s="101" t="s">
        <v>48</v>
      </c>
      <c r="B27" s="102"/>
      <c r="C27" s="103"/>
      <c r="D27" s="38">
        <v>17</v>
      </c>
      <c r="E27" s="28">
        <v>24.25</v>
      </c>
      <c r="F27" s="28">
        <v>23.5</v>
      </c>
      <c r="G27" s="28">
        <v>18.25</v>
      </c>
      <c r="H27" s="28">
        <v>17.75</v>
      </c>
      <c r="I27" s="28">
        <v>22</v>
      </c>
      <c r="J27" s="28">
        <v>15</v>
      </c>
      <c r="K27" s="150">
        <f t="shared" si="0"/>
        <v>1.0681818181818181</v>
      </c>
      <c r="L27" s="171">
        <f t="shared" si="1"/>
        <v>0.70212765957446877</v>
      </c>
      <c r="M27" s="174">
        <f t="shared" si="2"/>
        <v>0.75</v>
      </c>
    </row>
    <row r="28" spans="1:13" x14ac:dyDescent="0.25">
      <c r="A28" s="101" t="s">
        <v>49</v>
      </c>
      <c r="B28" s="102"/>
      <c r="C28" s="103"/>
      <c r="D28" s="37">
        <v>18</v>
      </c>
      <c r="E28" s="28">
        <v>11.25</v>
      </c>
      <c r="F28" s="28">
        <v>10.75</v>
      </c>
      <c r="G28" s="28">
        <v>9.25</v>
      </c>
      <c r="H28" s="28">
        <v>9.25</v>
      </c>
      <c r="I28" s="28">
        <v>2</v>
      </c>
      <c r="J28" s="28">
        <v>2</v>
      </c>
      <c r="K28" s="150">
        <f t="shared" si="0"/>
        <v>5.375</v>
      </c>
      <c r="L28" s="171">
        <f t="shared" si="1"/>
        <v>9.3023255813953654E-2</v>
      </c>
      <c r="M28" s="174">
        <f t="shared" si="2"/>
        <v>0.5</v>
      </c>
    </row>
    <row r="29" spans="1:13" x14ac:dyDescent="0.25">
      <c r="A29" s="101" t="s">
        <v>50</v>
      </c>
      <c r="B29" s="102"/>
      <c r="C29" s="103"/>
      <c r="D29" s="42">
        <v>19</v>
      </c>
      <c r="E29" s="28">
        <v>12.25</v>
      </c>
      <c r="F29" s="28">
        <v>10.5</v>
      </c>
      <c r="G29" s="28">
        <v>4.5</v>
      </c>
      <c r="H29" s="28">
        <v>3.5</v>
      </c>
      <c r="I29" s="28">
        <v>6</v>
      </c>
      <c r="J29" s="28">
        <v>1</v>
      </c>
      <c r="K29" s="150">
        <f t="shared" si="0"/>
        <v>1.75</v>
      </c>
      <c r="L29" s="171">
        <f t="shared" si="1"/>
        <v>1</v>
      </c>
      <c r="M29" s="174">
        <f t="shared" si="2"/>
        <v>1.75</v>
      </c>
    </row>
    <row r="30" spans="1:13" x14ac:dyDescent="0.25">
      <c r="A30" s="101" t="s">
        <v>51</v>
      </c>
      <c r="B30" s="102"/>
      <c r="C30" s="103"/>
      <c r="D30" s="42">
        <v>20</v>
      </c>
      <c r="E30" s="28">
        <v>23.5</v>
      </c>
      <c r="F30" s="28">
        <v>21.5</v>
      </c>
      <c r="G30" s="28"/>
      <c r="H30" s="28"/>
      <c r="I30" s="28">
        <v>18</v>
      </c>
      <c r="J30" s="28"/>
      <c r="K30" s="150">
        <f t="shared" si="0"/>
        <v>1.1944444444444444</v>
      </c>
      <c r="L30" s="171">
        <f t="shared" si="1"/>
        <v>1.6744186046511622</v>
      </c>
      <c r="M30" s="174">
        <f t="shared" si="2"/>
        <v>2</v>
      </c>
    </row>
    <row r="31" spans="1:13" x14ac:dyDescent="0.25">
      <c r="A31" s="101" t="s">
        <v>52</v>
      </c>
      <c r="B31" s="102"/>
      <c r="C31" s="103"/>
      <c r="D31" s="32">
        <v>21</v>
      </c>
      <c r="E31" s="28">
        <v>15.75</v>
      </c>
      <c r="F31" s="28">
        <v>13.25</v>
      </c>
      <c r="G31" s="28"/>
      <c r="H31" s="28"/>
      <c r="I31" s="28">
        <v>13</v>
      </c>
      <c r="J31" s="28"/>
      <c r="K31" s="150">
        <f t="shared" si="0"/>
        <v>1.0192307692307692</v>
      </c>
      <c r="L31" s="171">
        <f t="shared" si="1"/>
        <v>2.452830188679247</v>
      </c>
      <c r="M31" s="174">
        <f t="shared" si="2"/>
        <v>2.5</v>
      </c>
    </row>
    <row r="32" spans="1:13" x14ac:dyDescent="0.25">
      <c r="A32" s="101" t="s">
        <v>53</v>
      </c>
      <c r="B32" s="102"/>
      <c r="C32" s="103"/>
      <c r="D32" s="42">
        <v>22</v>
      </c>
      <c r="E32" s="28">
        <v>85</v>
      </c>
      <c r="F32" s="28">
        <v>79.5</v>
      </c>
      <c r="G32" s="28">
        <v>44</v>
      </c>
      <c r="H32" s="28">
        <v>40.75</v>
      </c>
      <c r="I32" s="28">
        <v>55</v>
      </c>
      <c r="J32" s="28">
        <v>25</v>
      </c>
      <c r="K32" s="150">
        <f t="shared" si="0"/>
        <v>1.4454545454545455</v>
      </c>
      <c r="L32" s="171">
        <f t="shared" si="1"/>
        <v>3.8050314465408732</v>
      </c>
      <c r="M32" s="174">
        <f t="shared" si="2"/>
        <v>5.5</v>
      </c>
    </row>
    <row r="33" spans="1:13" x14ac:dyDescent="0.25">
      <c r="A33" s="83" t="s">
        <v>54</v>
      </c>
      <c r="B33" s="84"/>
      <c r="C33" s="85"/>
      <c r="D33" s="35" t="s">
        <v>55</v>
      </c>
      <c r="E33" s="28"/>
      <c r="F33" s="28"/>
      <c r="G33" s="28"/>
      <c r="H33" s="28"/>
      <c r="I33" s="28"/>
      <c r="J33" s="28"/>
      <c r="K33" s="150"/>
      <c r="L33" s="171"/>
      <c r="M33" s="174"/>
    </row>
    <row r="34" spans="1:13" x14ac:dyDescent="0.25">
      <c r="A34" s="101" t="s">
        <v>56</v>
      </c>
      <c r="B34" s="102"/>
      <c r="C34" s="103"/>
      <c r="D34" s="32">
        <v>23</v>
      </c>
      <c r="E34" s="28">
        <v>58.75</v>
      </c>
      <c r="F34" s="28">
        <v>58.5</v>
      </c>
      <c r="G34" s="28">
        <v>4.5</v>
      </c>
      <c r="H34" s="28">
        <v>4.25</v>
      </c>
      <c r="I34" s="28">
        <v>36</v>
      </c>
      <c r="J34" s="28">
        <v>2</v>
      </c>
      <c r="K34" s="150">
        <f t="shared" si="0"/>
        <v>1.625</v>
      </c>
      <c r="L34" s="171">
        <f t="shared" si="1"/>
        <v>0.1538461538461533</v>
      </c>
      <c r="M34" s="174">
        <f t="shared" si="2"/>
        <v>0.25</v>
      </c>
    </row>
    <row r="35" spans="1:13" x14ac:dyDescent="0.25">
      <c r="A35" s="89" t="s">
        <v>57</v>
      </c>
      <c r="B35" s="90"/>
      <c r="C35" s="91"/>
      <c r="D35" s="28">
        <v>24</v>
      </c>
      <c r="E35" s="28">
        <v>129</v>
      </c>
      <c r="F35" s="28">
        <v>117.75</v>
      </c>
      <c r="G35" s="28">
        <v>65.5</v>
      </c>
      <c r="H35" s="28">
        <v>64.25</v>
      </c>
      <c r="I35" s="28">
        <v>85</v>
      </c>
      <c r="J35" s="28">
        <v>47</v>
      </c>
      <c r="K35" s="150">
        <f t="shared" si="0"/>
        <v>1.3852941176470588</v>
      </c>
      <c r="L35" s="171">
        <f t="shared" si="1"/>
        <v>8.121019108280251</v>
      </c>
      <c r="M35" s="174">
        <f t="shared" si="2"/>
        <v>11.25</v>
      </c>
    </row>
    <row r="36" spans="1:13" x14ac:dyDescent="0.25">
      <c r="A36" s="101" t="s">
        <v>58</v>
      </c>
      <c r="B36" s="102"/>
      <c r="C36" s="103"/>
      <c r="D36" s="134" t="s">
        <v>59</v>
      </c>
      <c r="E36" s="112">
        <v>45</v>
      </c>
      <c r="F36" s="112">
        <v>41.75</v>
      </c>
      <c r="G36" s="112">
        <v>26.75</v>
      </c>
      <c r="H36" s="112">
        <v>25.75</v>
      </c>
      <c r="I36" s="112">
        <v>31</v>
      </c>
      <c r="J36" s="112">
        <v>19</v>
      </c>
      <c r="K36" s="169">
        <f t="shared" si="0"/>
        <v>1.346774193548387</v>
      </c>
      <c r="L36" s="172">
        <f t="shared" si="1"/>
        <v>2.4131736526946099</v>
      </c>
      <c r="M36" s="175">
        <f t="shared" si="2"/>
        <v>3.25</v>
      </c>
    </row>
    <row r="37" spans="1:13" x14ac:dyDescent="0.25">
      <c r="A37" s="105" t="s">
        <v>60</v>
      </c>
      <c r="B37" s="106"/>
      <c r="C37" s="106"/>
      <c r="D37" s="135"/>
      <c r="E37" s="113"/>
      <c r="F37" s="113"/>
      <c r="G37" s="113"/>
      <c r="H37" s="113"/>
      <c r="I37" s="113"/>
      <c r="J37" s="113"/>
      <c r="K37" s="169"/>
      <c r="L37" s="172"/>
      <c r="M37" s="175"/>
    </row>
    <row r="38" spans="1:13" x14ac:dyDescent="0.25">
      <c r="A38" s="101" t="s">
        <v>61</v>
      </c>
      <c r="B38" s="102"/>
      <c r="C38" s="103"/>
      <c r="D38" s="35" t="s">
        <v>62</v>
      </c>
      <c r="E38" s="28">
        <v>12.25</v>
      </c>
      <c r="F38" s="28">
        <v>11.5</v>
      </c>
      <c r="G38" s="28">
        <v>3.25</v>
      </c>
      <c r="H38" s="28">
        <v>3.25</v>
      </c>
      <c r="I38" s="28">
        <v>9</v>
      </c>
      <c r="J38" s="28">
        <v>2</v>
      </c>
      <c r="K38" s="150">
        <f t="shared" si="0"/>
        <v>1.2777777777777777</v>
      </c>
      <c r="L38" s="171">
        <f t="shared" si="1"/>
        <v>0.58695652173913082</v>
      </c>
      <c r="M38" s="174">
        <f t="shared" si="2"/>
        <v>0.75</v>
      </c>
    </row>
    <row r="39" spans="1:13" x14ac:dyDescent="0.25">
      <c r="A39" s="101" t="s">
        <v>63</v>
      </c>
      <c r="B39" s="102"/>
      <c r="C39" s="103"/>
      <c r="D39" s="33" t="s">
        <v>64</v>
      </c>
      <c r="E39" s="28">
        <v>20.25</v>
      </c>
      <c r="F39" s="28">
        <v>16</v>
      </c>
      <c r="G39" s="28">
        <v>10</v>
      </c>
      <c r="H39" s="28">
        <v>9.5</v>
      </c>
      <c r="I39" s="28">
        <v>10</v>
      </c>
      <c r="J39" s="28">
        <v>5</v>
      </c>
      <c r="K39" s="150">
        <f t="shared" si="0"/>
        <v>1.6</v>
      </c>
      <c r="L39" s="171">
        <f t="shared" si="1"/>
        <v>2.65625</v>
      </c>
      <c r="M39" s="174">
        <f t="shared" si="2"/>
        <v>4.25</v>
      </c>
    </row>
    <row r="40" spans="1:13" x14ac:dyDescent="0.25">
      <c r="A40" s="101" t="s">
        <v>65</v>
      </c>
      <c r="B40" s="102"/>
      <c r="C40" s="103"/>
      <c r="D40" s="28">
        <v>25</v>
      </c>
      <c r="E40" s="28"/>
      <c r="F40" s="28"/>
      <c r="G40" s="28"/>
      <c r="H40" s="28"/>
      <c r="I40" s="28"/>
      <c r="J40" s="28"/>
      <c r="K40" s="150"/>
      <c r="L40" s="171"/>
      <c r="M40" s="174"/>
    </row>
    <row r="41" spans="1:13" x14ac:dyDescent="0.25">
      <c r="A41" s="89" t="s">
        <v>66</v>
      </c>
      <c r="B41" s="90"/>
      <c r="C41" s="91"/>
      <c r="D41" s="30">
        <v>26</v>
      </c>
      <c r="E41" s="30">
        <v>3</v>
      </c>
      <c r="F41" s="30">
        <v>2.5</v>
      </c>
      <c r="G41" s="30">
        <v>3</v>
      </c>
      <c r="H41" s="30">
        <v>2.5</v>
      </c>
      <c r="I41" s="30">
        <v>1</v>
      </c>
      <c r="J41" s="30">
        <v>1</v>
      </c>
      <c r="K41" s="150">
        <f t="shared" si="0"/>
        <v>2.5</v>
      </c>
      <c r="L41" s="171">
        <f t="shared" si="1"/>
        <v>0.19999999999999996</v>
      </c>
      <c r="M41" s="174">
        <f t="shared" si="2"/>
        <v>0.5</v>
      </c>
    </row>
    <row r="42" spans="1:13" x14ac:dyDescent="0.25">
      <c r="A42" s="89" t="s">
        <v>67</v>
      </c>
      <c r="B42" s="90"/>
      <c r="C42" s="91"/>
      <c r="D42" s="28">
        <v>27</v>
      </c>
      <c r="E42" s="28">
        <v>99</v>
      </c>
      <c r="F42" s="28">
        <v>90.75</v>
      </c>
      <c r="G42" s="28">
        <v>55.75</v>
      </c>
      <c r="H42" s="28">
        <v>53</v>
      </c>
      <c r="I42" s="28">
        <v>59</v>
      </c>
      <c r="J42" s="28">
        <v>28</v>
      </c>
      <c r="K42" s="150">
        <f t="shared" si="0"/>
        <v>1.5381355932203389</v>
      </c>
      <c r="L42" s="171">
        <f t="shared" si="1"/>
        <v>5.363636363636374</v>
      </c>
      <c r="M42" s="174">
        <f t="shared" si="2"/>
        <v>8.25</v>
      </c>
    </row>
    <row r="43" spans="1:13" x14ac:dyDescent="0.25">
      <c r="A43" s="117" t="s">
        <v>68</v>
      </c>
      <c r="B43" s="118"/>
      <c r="C43" s="119"/>
      <c r="D43" s="31">
        <v>28</v>
      </c>
      <c r="E43" s="31">
        <v>5.75</v>
      </c>
      <c r="F43" s="31">
        <v>5</v>
      </c>
      <c r="G43" s="31"/>
      <c r="H43" s="31"/>
      <c r="I43" s="31">
        <v>2</v>
      </c>
      <c r="J43" s="31"/>
      <c r="K43" s="150">
        <f t="shared" si="0"/>
        <v>2.5</v>
      </c>
      <c r="L43" s="171">
        <f t="shared" si="1"/>
        <v>0.29999999999999982</v>
      </c>
      <c r="M43" s="174">
        <f t="shared" si="2"/>
        <v>0.75</v>
      </c>
    </row>
    <row r="44" spans="1:13" x14ac:dyDescent="0.25">
      <c r="A44" s="117" t="s">
        <v>69</v>
      </c>
      <c r="B44" s="118"/>
      <c r="C44" s="119"/>
      <c r="D44" s="38">
        <v>29</v>
      </c>
      <c r="E44" s="28">
        <v>10.75</v>
      </c>
      <c r="F44" s="28">
        <v>10.75</v>
      </c>
      <c r="G44" s="28"/>
      <c r="H44" s="28"/>
      <c r="I44" s="28">
        <v>10</v>
      </c>
      <c r="J44" s="28"/>
      <c r="K44" s="150">
        <f t="shared" si="0"/>
        <v>1.075</v>
      </c>
      <c r="L44" s="171"/>
      <c r="M44" s="174"/>
    </row>
    <row r="45" spans="1:13" x14ac:dyDescent="0.25">
      <c r="A45" s="114" t="s">
        <v>70</v>
      </c>
      <c r="B45" s="115"/>
      <c r="C45" s="116"/>
      <c r="D45" s="32">
        <v>30</v>
      </c>
      <c r="E45" s="28">
        <v>297.25</v>
      </c>
      <c r="F45" s="28">
        <v>280.25</v>
      </c>
      <c r="G45" s="28">
        <v>111</v>
      </c>
      <c r="H45" s="28">
        <v>107</v>
      </c>
      <c r="I45" s="28">
        <v>224</v>
      </c>
      <c r="J45" s="28">
        <v>81</v>
      </c>
      <c r="K45" s="150">
        <f t="shared" si="0"/>
        <v>1.2511160714285714</v>
      </c>
      <c r="L45" s="171">
        <f t="shared" si="1"/>
        <v>13.587867975022306</v>
      </c>
      <c r="M45" s="174">
        <f t="shared" si="2"/>
        <v>17</v>
      </c>
    </row>
    <row r="46" spans="1:13" x14ac:dyDescent="0.25">
      <c r="A46" s="101" t="s">
        <v>71</v>
      </c>
      <c r="B46" s="102"/>
      <c r="C46" s="103"/>
      <c r="D46" s="40" t="s">
        <v>72</v>
      </c>
      <c r="E46" s="28">
        <v>240.5</v>
      </c>
      <c r="F46" s="28">
        <v>230.25</v>
      </c>
      <c r="G46" s="28">
        <v>88.25</v>
      </c>
      <c r="H46" s="28">
        <v>85.25</v>
      </c>
      <c r="I46" s="28">
        <v>179</v>
      </c>
      <c r="J46" s="28">
        <v>69</v>
      </c>
      <c r="K46" s="150">
        <f t="shared" si="0"/>
        <v>1.2863128491620113</v>
      </c>
      <c r="L46" s="171">
        <f t="shared" si="1"/>
        <v>7.9685124864277839</v>
      </c>
      <c r="M46" s="174">
        <f t="shared" si="2"/>
        <v>10.25</v>
      </c>
    </row>
    <row r="47" spans="1:13" x14ac:dyDescent="0.25">
      <c r="A47" s="101" t="s">
        <v>73</v>
      </c>
      <c r="B47" s="102"/>
      <c r="C47" s="103"/>
      <c r="D47" s="33" t="s">
        <v>74</v>
      </c>
      <c r="E47" s="28">
        <v>16</v>
      </c>
      <c r="F47" s="28">
        <v>14.5</v>
      </c>
      <c r="G47" s="28"/>
      <c r="H47" s="28"/>
      <c r="I47" s="28">
        <v>15</v>
      </c>
      <c r="J47" s="28"/>
      <c r="K47" s="150">
        <f t="shared" si="0"/>
        <v>0.96666666666666667</v>
      </c>
      <c r="L47" s="171">
        <f t="shared" si="1"/>
        <v>1.5517241379310356</v>
      </c>
      <c r="M47" s="174">
        <f t="shared" si="2"/>
        <v>1.5</v>
      </c>
    </row>
    <row r="48" spans="1:13" x14ac:dyDescent="0.25">
      <c r="A48" s="101" t="s">
        <v>75</v>
      </c>
      <c r="B48" s="102"/>
      <c r="C48" s="103"/>
      <c r="D48" s="40" t="s">
        <v>76</v>
      </c>
      <c r="E48" s="28">
        <v>11.25</v>
      </c>
      <c r="F48" s="28">
        <v>11.25</v>
      </c>
      <c r="G48" s="28">
        <v>1</v>
      </c>
      <c r="H48" s="28">
        <v>1</v>
      </c>
      <c r="I48" s="28">
        <v>7</v>
      </c>
      <c r="J48" s="28"/>
      <c r="K48" s="150">
        <f t="shared" si="0"/>
        <v>1.6071428571428572</v>
      </c>
      <c r="L48" s="171"/>
      <c r="M48" s="174"/>
    </row>
    <row r="49" spans="1:13" x14ac:dyDescent="0.25">
      <c r="A49" s="101" t="s">
        <v>77</v>
      </c>
      <c r="B49" s="102"/>
      <c r="C49" s="103"/>
      <c r="D49" s="33" t="s">
        <v>78</v>
      </c>
      <c r="E49" s="28">
        <v>5</v>
      </c>
      <c r="F49" s="28">
        <v>3</v>
      </c>
      <c r="G49" s="28"/>
      <c r="H49" s="28"/>
      <c r="I49" s="28">
        <v>2</v>
      </c>
      <c r="J49" s="28"/>
      <c r="K49" s="150">
        <f t="shared" si="0"/>
        <v>1.5</v>
      </c>
      <c r="L49" s="171">
        <f t="shared" si="1"/>
        <v>1.3333333333333335</v>
      </c>
      <c r="M49" s="174">
        <f t="shared" si="2"/>
        <v>2</v>
      </c>
    </row>
    <row r="50" spans="1:13" x14ac:dyDescent="0.25">
      <c r="A50" s="101" t="s">
        <v>79</v>
      </c>
      <c r="B50" s="102"/>
      <c r="C50" s="103"/>
      <c r="D50" s="38">
        <v>31</v>
      </c>
      <c r="E50" s="28">
        <v>76.5</v>
      </c>
      <c r="F50" s="28">
        <v>72</v>
      </c>
      <c r="G50" s="28">
        <v>25.25</v>
      </c>
      <c r="H50" s="28">
        <v>21.25</v>
      </c>
      <c r="I50" s="28">
        <v>51</v>
      </c>
      <c r="J50" s="28">
        <v>11</v>
      </c>
      <c r="K50" s="150">
        <f t="shared" si="0"/>
        <v>1.411764705882353</v>
      </c>
      <c r="L50" s="171">
        <f t="shared" si="1"/>
        <v>3.1875</v>
      </c>
      <c r="M50" s="174">
        <f t="shared" si="2"/>
        <v>4.5</v>
      </c>
    </row>
    <row r="51" spans="1:13" x14ac:dyDescent="0.25">
      <c r="A51" s="101" t="s">
        <v>80</v>
      </c>
      <c r="B51" s="102"/>
      <c r="C51" s="103"/>
      <c r="D51" s="32">
        <v>32</v>
      </c>
      <c r="E51" s="28">
        <v>21.5</v>
      </c>
      <c r="F51" s="28">
        <v>20.5</v>
      </c>
      <c r="G51" s="28"/>
      <c r="H51" s="28"/>
      <c r="I51" s="28">
        <v>22</v>
      </c>
      <c r="J51" s="28"/>
      <c r="K51" s="150">
        <f t="shared" si="0"/>
        <v>0.93181818181818177</v>
      </c>
      <c r="L51" s="171">
        <f t="shared" si="1"/>
        <v>1.073170731707318</v>
      </c>
      <c r="M51" s="174">
        <f t="shared" si="2"/>
        <v>1</v>
      </c>
    </row>
    <row r="52" spans="1:13" x14ac:dyDescent="0.25">
      <c r="A52" s="101" t="s">
        <v>81</v>
      </c>
      <c r="B52" s="102"/>
      <c r="C52" s="103"/>
      <c r="D52" s="38">
        <v>33</v>
      </c>
      <c r="E52" s="28">
        <v>16</v>
      </c>
      <c r="F52" s="28">
        <v>14</v>
      </c>
      <c r="G52" s="28">
        <v>2</v>
      </c>
      <c r="H52" s="28">
        <v>1</v>
      </c>
      <c r="I52" s="28">
        <v>11</v>
      </c>
      <c r="J52" s="28"/>
      <c r="K52" s="150">
        <f t="shared" si="0"/>
        <v>1.2727272727272727</v>
      </c>
      <c r="L52" s="171">
        <f t="shared" si="1"/>
        <v>1.5714285714285712</v>
      </c>
      <c r="M52" s="174">
        <f t="shared" si="2"/>
        <v>2</v>
      </c>
    </row>
    <row r="53" spans="1:13" x14ac:dyDescent="0.25">
      <c r="A53" s="101" t="s">
        <v>82</v>
      </c>
      <c r="B53" s="102"/>
      <c r="C53" s="103"/>
      <c r="D53" s="32">
        <v>34</v>
      </c>
      <c r="E53" s="28">
        <v>30.25</v>
      </c>
      <c r="F53" s="28">
        <v>28.25</v>
      </c>
      <c r="G53" s="28">
        <v>6</v>
      </c>
      <c r="H53" s="28">
        <v>6</v>
      </c>
      <c r="I53" s="28">
        <v>22</v>
      </c>
      <c r="J53" s="28">
        <v>4</v>
      </c>
      <c r="K53" s="150">
        <f t="shared" si="0"/>
        <v>1.2840909090909092</v>
      </c>
      <c r="L53" s="171">
        <f t="shared" si="1"/>
        <v>1.5575221238938042</v>
      </c>
      <c r="M53" s="174">
        <f t="shared" si="2"/>
        <v>2</v>
      </c>
    </row>
    <row r="54" spans="1:13" x14ac:dyDescent="0.25">
      <c r="A54" s="101" t="s">
        <v>83</v>
      </c>
      <c r="B54" s="102"/>
      <c r="C54" s="103"/>
      <c r="D54" s="32">
        <v>35</v>
      </c>
      <c r="E54" s="28">
        <v>1</v>
      </c>
      <c r="F54" s="28">
        <v>1</v>
      </c>
      <c r="G54" s="28"/>
      <c r="H54" s="28"/>
      <c r="I54" s="28"/>
      <c r="J54" s="28"/>
      <c r="K54" s="150"/>
      <c r="L54" s="171"/>
      <c r="M54" s="174"/>
    </row>
    <row r="55" spans="1:13" x14ac:dyDescent="0.25">
      <c r="A55" s="101" t="s">
        <v>84</v>
      </c>
      <c r="B55" s="102"/>
      <c r="C55" s="103"/>
      <c r="D55" s="32">
        <v>36</v>
      </c>
      <c r="E55" s="28">
        <v>156.25</v>
      </c>
      <c r="F55" s="28">
        <v>148</v>
      </c>
      <c r="G55" s="28">
        <v>26.75</v>
      </c>
      <c r="H55" s="28">
        <v>26.25</v>
      </c>
      <c r="I55" s="28">
        <v>111</v>
      </c>
      <c r="J55" s="28">
        <v>15</v>
      </c>
      <c r="K55" s="150">
        <f t="shared" si="0"/>
        <v>1.3333333333333333</v>
      </c>
      <c r="L55" s="171">
        <f t="shared" si="1"/>
        <v>6.1875</v>
      </c>
      <c r="M55" s="174">
        <f t="shared" si="2"/>
        <v>8.25</v>
      </c>
    </row>
    <row r="56" spans="1:13" x14ac:dyDescent="0.25">
      <c r="A56" s="101" t="s">
        <v>85</v>
      </c>
      <c r="B56" s="102"/>
      <c r="C56" s="103"/>
      <c r="D56" s="38" t="s">
        <v>86</v>
      </c>
      <c r="E56" s="28">
        <v>3</v>
      </c>
      <c r="F56" s="28">
        <v>3</v>
      </c>
      <c r="G56" s="28"/>
      <c r="H56" s="28"/>
      <c r="I56" s="28">
        <v>3</v>
      </c>
      <c r="J56" s="28"/>
      <c r="K56" s="150">
        <f t="shared" si="0"/>
        <v>1</v>
      </c>
      <c r="L56" s="171"/>
      <c r="M56" s="174"/>
    </row>
    <row r="57" spans="1:13" x14ac:dyDescent="0.25">
      <c r="A57" s="101" t="s">
        <v>87</v>
      </c>
      <c r="B57" s="102"/>
      <c r="C57" s="103"/>
      <c r="D57" s="32">
        <v>37</v>
      </c>
      <c r="E57" s="28">
        <v>36.5</v>
      </c>
      <c r="F57" s="28">
        <v>36</v>
      </c>
      <c r="G57" s="28">
        <v>5.5</v>
      </c>
      <c r="H57" s="28">
        <v>5</v>
      </c>
      <c r="I57" s="28">
        <v>25</v>
      </c>
      <c r="J57" s="28">
        <v>3</v>
      </c>
      <c r="K57" s="150">
        <f t="shared" si="0"/>
        <v>1.44</v>
      </c>
      <c r="L57" s="171">
        <f t="shared" si="1"/>
        <v>0.34722222222222143</v>
      </c>
      <c r="M57" s="174">
        <f t="shared" si="2"/>
        <v>0.5</v>
      </c>
    </row>
    <row r="58" spans="1:13" x14ac:dyDescent="0.25">
      <c r="A58" s="101" t="s">
        <v>88</v>
      </c>
      <c r="B58" s="102"/>
      <c r="C58" s="103"/>
      <c r="D58" s="28" t="s">
        <v>89</v>
      </c>
      <c r="E58" s="28">
        <v>3.25</v>
      </c>
      <c r="F58" s="28">
        <v>3.25</v>
      </c>
      <c r="G58" s="28"/>
      <c r="H58" s="28"/>
      <c r="I58" s="28">
        <v>3</v>
      </c>
      <c r="J58" s="28"/>
      <c r="K58" s="150">
        <f t="shared" si="0"/>
        <v>1.0833333333333333</v>
      </c>
      <c r="L58" s="171"/>
      <c r="M58" s="174"/>
    </row>
    <row r="59" spans="1:13" x14ac:dyDescent="0.25">
      <c r="A59" s="101" t="s">
        <v>90</v>
      </c>
      <c r="B59" s="102"/>
      <c r="C59" s="103"/>
      <c r="D59" s="28">
        <v>38</v>
      </c>
      <c r="E59" s="28">
        <v>76.5</v>
      </c>
      <c r="F59" s="28">
        <v>72.75</v>
      </c>
      <c r="G59" s="28">
        <v>35.25</v>
      </c>
      <c r="H59" s="28">
        <v>34.5</v>
      </c>
      <c r="I59" s="28">
        <v>62</v>
      </c>
      <c r="J59" s="28">
        <v>27</v>
      </c>
      <c r="K59" s="150">
        <f t="shared" si="0"/>
        <v>1.1733870967741935</v>
      </c>
      <c r="L59" s="171">
        <f t="shared" si="1"/>
        <v>3.1958762886597896</v>
      </c>
      <c r="M59" s="174">
        <f t="shared" si="2"/>
        <v>3.75</v>
      </c>
    </row>
    <row r="60" spans="1:13" x14ac:dyDescent="0.25">
      <c r="A60" s="101" t="s">
        <v>91</v>
      </c>
      <c r="B60" s="102"/>
      <c r="C60" s="103"/>
      <c r="D60" s="28" t="s">
        <v>92</v>
      </c>
      <c r="E60" s="28">
        <v>2.5</v>
      </c>
      <c r="F60" s="28">
        <v>2.5</v>
      </c>
      <c r="G60" s="28"/>
      <c r="H60" s="28"/>
      <c r="I60" s="28">
        <v>3</v>
      </c>
      <c r="J60" s="28"/>
      <c r="K60" s="150">
        <f t="shared" si="0"/>
        <v>0.83333333333333337</v>
      </c>
      <c r="L60" s="171"/>
      <c r="M60" s="174"/>
    </row>
    <row r="61" spans="1:13" x14ac:dyDescent="0.25">
      <c r="A61" s="101" t="s">
        <v>93</v>
      </c>
      <c r="B61" s="102"/>
      <c r="C61" s="103"/>
      <c r="D61" s="28">
        <v>39</v>
      </c>
      <c r="E61" s="28">
        <v>15</v>
      </c>
      <c r="F61" s="28">
        <v>13.5</v>
      </c>
      <c r="G61" s="28">
        <v>2.25</v>
      </c>
      <c r="H61" s="28">
        <v>2.25</v>
      </c>
      <c r="I61" s="28">
        <v>9</v>
      </c>
      <c r="J61" s="28"/>
      <c r="K61" s="150">
        <f t="shared" si="0"/>
        <v>1.5</v>
      </c>
      <c r="L61" s="171">
        <f t="shared" si="1"/>
        <v>1</v>
      </c>
      <c r="M61" s="174">
        <f t="shared" si="2"/>
        <v>1.5</v>
      </c>
    </row>
    <row r="62" spans="1:13" x14ac:dyDescent="0.25">
      <c r="A62" s="101" t="s">
        <v>94</v>
      </c>
      <c r="B62" s="102"/>
      <c r="C62" s="103"/>
      <c r="D62" s="28">
        <v>40</v>
      </c>
      <c r="E62" s="28">
        <v>71</v>
      </c>
      <c r="F62" s="28">
        <v>71</v>
      </c>
      <c r="G62" s="28"/>
      <c r="H62" s="28"/>
      <c r="I62" s="28">
        <v>50</v>
      </c>
      <c r="J62" s="28"/>
      <c r="K62" s="150">
        <f t="shared" si="0"/>
        <v>1.42</v>
      </c>
      <c r="L62" s="171"/>
      <c r="M62" s="174"/>
    </row>
    <row r="63" spans="1:13" x14ac:dyDescent="0.25">
      <c r="A63" s="101" t="s">
        <v>95</v>
      </c>
      <c r="B63" s="102"/>
      <c r="C63" s="103"/>
      <c r="D63" s="28">
        <v>41</v>
      </c>
      <c r="E63" s="28">
        <v>19.5</v>
      </c>
      <c r="F63" s="28">
        <v>19.5</v>
      </c>
      <c r="G63" s="28"/>
      <c r="H63" s="28"/>
      <c r="I63" s="28">
        <v>16</v>
      </c>
      <c r="J63" s="28"/>
      <c r="K63" s="150">
        <f t="shared" si="0"/>
        <v>1.21875</v>
      </c>
      <c r="L63" s="171"/>
      <c r="M63" s="174"/>
    </row>
    <row r="64" spans="1:13" x14ac:dyDescent="0.25">
      <c r="A64" s="101" t="s">
        <v>96</v>
      </c>
      <c r="B64" s="102"/>
      <c r="C64" s="103"/>
      <c r="D64" s="28">
        <v>42</v>
      </c>
      <c r="E64" s="28">
        <v>439.5</v>
      </c>
      <c r="F64" s="28">
        <v>418.5</v>
      </c>
      <c r="G64" s="28">
        <v>0.5</v>
      </c>
      <c r="H64" s="28">
        <v>0.5</v>
      </c>
      <c r="I64" s="28">
        <v>285</v>
      </c>
      <c r="J64" s="28"/>
      <c r="K64" s="150">
        <f t="shared" si="0"/>
        <v>1.4684210526315788</v>
      </c>
      <c r="L64" s="171">
        <f t="shared" si="1"/>
        <v>14.301075268817215</v>
      </c>
      <c r="M64" s="174">
        <f t="shared" si="2"/>
        <v>21</v>
      </c>
    </row>
    <row r="65" spans="1:13" x14ac:dyDescent="0.25">
      <c r="A65" s="101" t="s">
        <v>97</v>
      </c>
      <c r="B65" s="102"/>
      <c r="C65" s="103"/>
      <c r="D65" s="28">
        <v>43</v>
      </c>
      <c r="E65" s="28">
        <v>143.5</v>
      </c>
      <c r="F65" s="28">
        <v>134.5</v>
      </c>
      <c r="G65" s="28"/>
      <c r="H65" s="28"/>
      <c r="I65" s="28">
        <v>78</v>
      </c>
      <c r="J65" s="28"/>
      <c r="K65" s="150">
        <f t="shared" si="0"/>
        <v>1.7243589743589745</v>
      </c>
      <c r="L65" s="171">
        <f t="shared" si="1"/>
        <v>5.2193308550185833</v>
      </c>
      <c r="M65" s="174">
        <f t="shared" si="2"/>
        <v>9</v>
      </c>
    </row>
    <row r="66" spans="1:13" x14ac:dyDescent="0.25">
      <c r="A66" s="101" t="s">
        <v>98</v>
      </c>
      <c r="B66" s="102"/>
      <c r="C66" s="103"/>
      <c r="D66" s="28">
        <v>44</v>
      </c>
      <c r="E66" s="28">
        <v>4</v>
      </c>
      <c r="F66" s="28">
        <v>4</v>
      </c>
      <c r="G66" s="28"/>
      <c r="H66" s="28"/>
      <c r="I66" s="28">
        <v>3</v>
      </c>
      <c r="J66" s="28"/>
      <c r="K66" s="150">
        <f t="shared" si="0"/>
        <v>1.3333333333333333</v>
      </c>
      <c r="L66" s="171"/>
      <c r="M66" s="174"/>
    </row>
    <row r="67" spans="1:13" x14ac:dyDescent="0.25">
      <c r="A67" s="101" t="s">
        <v>99</v>
      </c>
      <c r="B67" s="102"/>
      <c r="C67" s="103"/>
      <c r="D67" s="28">
        <v>45</v>
      </c>
      <c r="E67" s="28">
        <v>64.5</v>
      </c>
      <c r="F67" s="28">
        <v>58</v>
      </c>
      <c r="G67" s="28">
        <v>17.25</v>
      </c>
      <c r="H67" s="28">
        <v>14.25</v>
      </c>
      <c r="I67" s="28">
        <v>44</v>
      </c>
      <c r="J67" s="28">
        <v>11</v>
      </c>
      <c r="K67" s="150">
        <f t="shared" si="0"/>
        <v>1.3181818181818181</v>
      </c>
      <c r="L67" s="171">
        <f t="shared" si="1"/>
        <v>4.9310344827586263</v>
      </c>
      <c r="M67" s="174">
        <f t="shared" si="2"/>
        <v>6.5</v>
      </c>
    </row>
    <row r="68" spans="1:13" x14ac:dyDescent="0.25">
      <c r="A68" s="101" t="s">
        <v>100</v>
      </c>
      <c r="B68" s="102"/>
      <c r="C68" s="103"/>
      <c r="D68" s="28">
        <v>46</v>
      </c>
      <c r="E68" s="28">
        <v>4.75</v>
      </c>
      <c r="F68" s="28">
        <v>4.75</v>
      </c>
      <c r="G68" s="28"/>
      <c r="H68" s="28"/>
      <c r="I68" s="28">
        <v>4</v>
      </c>
      <c r="J68" s="28"/>
      <c r="K68" s="150">
        <f t="shared" si="0"/>
        <v>1.1875</v>
      </c>
      <c r="L68" s="171"/>
      <c r="M68" s="174"/>
    </row>
    <row r="69" spans="1:13" x14ac:dyDescent="0.25">
      <c r="A69" s="101" t="s">
        <v>101</v>
      </c>
      <c r="B69" s="102"/>
      <c r="C69" s="103"/>
      <c r="D69" s="28">
        <v>47</v>
      </c>
      <c r="E69" s="28">
        <v>178</v>
      </c>
      <c r="F69" s="28">
        <v>166.25</v>
      </c>
      <c r="G69" s="28">
        <v>94.75</v>
      </c>
      <c r="H69" s="28">
        <v>91.75</v>
      </c>
      <c r="I69" s="28">
        <v>112</v>
      </c>
      <c r="J69" s="28">
        <v>67</v>
      </c>
      <c r="K69" s="150">
        <f t="shared" si="0"/>
        <v>1.484375</v>
      </c>
      <c r="L69" s="171">
        <f t="shared" si="1"/>
        <v>7.9157894736842138</v>
      </c>
      <c r="M69" s="174">
        <f t="shared" si="2"/>
        <v>11.75</v>
      </c>
    </row>
    <row r="70" spans="1:13" x14ac:dyDescent="0.25">
      <c r="A70" s="101" t="s">
        <v>102</v>
      </c>
      <c r="B70" s="102"/>
      <c r="C70" s="103"/>
      <c r="D70" s="28" t="s">
        <v>103</v>
      </c>
      <c r="E70" s="28">
        <v>32.75</v>
      </c>
      <c r="F70" s="28">
        <v>31</v>
      </c>
      <c r="G70" s="28">
        <v>24.25</v>
      </c>
      <c r="H70" s="28">
        <v>23</v>
      </c>
      <c r="I70" s="28">
        <v>22</v>
      </c>
      <c r="J70" s="28">
        <v>15</v>
      </c>
      <c r="K70" s="150">
        <f t="shared" ref="K70:K133" si="3">F70/I70</f>
        <v>1.4090909090909092</v>
      </c>
      <c r="L70" s="171">
        <f t="shared" ref="L70:L133" si="4">E70/K70-I70</f>
        <v>1.241935483870968</v>
      </c>
      <c r="M70" s="174">
        <f t="shared" ref="M70:M133" si="5">E70-F70</f>
        <v>1.75</v>
      </c>
    </row>
    <row r="71" spans="1:13" x14ac:dyDescent="0.25">
      <c r="A71" s="101" t="s">
        <v>104</v>
      </c>
      <c r="B71" s="102"/>
      <c r="C71" s="103"/>
      <c r="D71" s="34">
        <v>48</v>
      </c>
      <c r="E71" s="28">
        <v>13.75</v>
      </c>
      <c r="F71" s="28">
        <v>11.25</v>
      </c>
      <c r="G71" s="28"/>
      <c r="H71" s="28"/>
      <c r="I71" s="28">
        <v>16</v>
      </c>
      <c r="J71" s="28"/>
      <c r="K71" s="150">
        <f t="shared" si="3"/>
        <v>0.703125</v>
      </c>
      <c r="L71" s="171">
        <f t="shared" si="4"/>
        <v>3.5555555555555571</v>
      </c>
      <c r="M71" s="174">
        <f t="shared" si="5"/>
        <v>2.5</v>
      </c>
    </row>
    <row r="72" spans="1:13" x14ac:dyDescent="0.25">
      <c r="A72" s="101" t="s">
        <v>105</v>
      </c>
      <c r="B72" s="102"/>
      <c r="C72" s="103"/>
      <c r="D72" s="28">
        <v>49</v>
      </c>
      <c r="E72" s="34">
        <v>26.5</v>
      </c>
      <c r="F72" s="28">
        <v>25.25</v>
      </c>
      <c r="G72" s="34"/>
      <c r="H72" s="28"/>
      <c r="I72" s="28">
        <v>26</v>
      </c>
      <c r="J72" s="28"/>
      <c r="K72" s="150">
        <f t="shared" si="3"/>
        <v>0.97115384615384615</v>
      </c>
      <c r="L72" s="171">
        <f t="shared" si="4"/>
        <v>1.2871287128712865</v>
      </c>
      <c r="M72" s="174">
        <f t="shared" si="5"/>
        <v>1.25</v>
      </c>
    </row>
    <row r="73" spans="1:13" x14ac:dyDescent="0.25">
      <c r="A73" s="105" t="s">
        <v>106</v>
      </c>
      <c r="B73" s="106"/>
      <c r="C73" s="107"/>
      <c r="D73" s="31">
        <v>50</v>
      </c>
      <c r="E73" s="41">
        <v>81.25</v>
      </c>
      <c r="F73" s="31">
        <v>79</v>
      </c>
      <c r="G73" s="41">
        <v>70.5</v>
      </c>
      <c r="H73" s="31">
        <v>69.25</v>
      </c>
      <c r="I73" s="31">
        <v>67</v>
      </c>
      <c r="J73" s="31">
        <v>60</v>
      </c>
      <c r="K73" s="150">
        <f t="shared" si="3"/>
        <v>1.1791044776119404</v>
      </c>
      <c r="L73" s="171">
        <f t="shared" si="4"/>
        <v>1.9082278481012622</v>
      </c>
      <c r="M73" s="174">
        <f t="shared" si="5"/>
        <v>2.25</v>
      </c>
    </row>
    <row r="74" spans="1:13" x14ac:dyDescent="0.25">
      <c r="A74" s="105" t="s">
        <v>107</v>
      </c>
      <c r="B74" s="106"/>
      <c r="C74" s="107"/>
      <c r="D74" s="28">
        <v>51</v>
      </c>
      <c r="E74" s="28">
        <v>36</v>
      </c>
      <c r="F74" s="28">
        <v>35.75</v>
      </c>
      <c r="G74" s="28">
        <v>34</v>
      </c>
      <c r="H74" s="28">
        <v>33.75</v>
      </c>
      <c r="I74" s="28">
        <v>31</v>
      </c>
      <c r="J74" s="28">
        <v>29</v>
      </c>
      <c r="K74" s="150">
        <f t="shared" si="3"/>
        <v>1.153225806451613</v>
      </c>
      <c r="L74" s="171">
        <f t="shared" si="4"/>
        <v>0.21678321678321311</v>
      </c>
      <c r="M74" s="174">
        <f t="shared" si="5"/>
        <v>0.25</v>
      </c>
    </row>
    <row r="75" spans="1:13" x14ac:dyDescent="0.25">
      <c r="A75" s="101" t="s">
        <v>108</v>
      </c>
      <c r="B75" s="102"/>
      <c r="C75" s="103"/>
      <c r="D75" s="28">
        <v>52</v>
      </c>
      <c r="E75" s="28">
        <v>24</v>
      </c>
      <c r="F75" s="28">
        <v>24</v>
      </c>
      <c r="G75" s="28"/>
      <c r="H75" s="28"/>
      <c r="I75" s="28">
        <v>16</v>
      </c>
      <c r="J75" s="28"/>
      <c r="K75" s="150">
        <f t="shared" si="3"/>
        <v>1.5</v>
      </c>
      <c r="L75" s="171"/>
      <c r="M75" s="174"/>
    </row>
    <row r="76" spans="1:13" x14ac:dyDescent="0.25">
      <c r="A76" s="101" t="s">
        <v>109</v>
      </c>
      <c r="B76" s="102"/>
      <c r="C76" s="103"/>
      <c r="D76" s="28">
        <v>53</v>
      </c>
      <c r="E76" s="28">
        <v>4.75</v>
      </c>
      <c r="F76" s="28">
        <v>4.25</v>
      </c>
      <c r="G76" s="28"/>
      <c r="H76" s="28"/>
      <c r="I76" s="28">
        <v>4</v>
      </c>
      <c r="J76" s="28"/>
      <c r="K76" s="150">
        <f t="shared" si="3"/>
        <v>1.0625</v>
      </c>
      <c r="L76" s="171">
        <f t="shared" si="4"/>
        <v>0.47058823529411775</v>
      </c>
      <c r="M76" s="174">
        <f t="shared" si="5"/>
        <v>0.5</v>
      </c>
    </row>
    <row r="77" spans="1:13" x14ac:dyDescent="0.25">
      <c r="A77" s="101" t="s">
        <v>110</v>
      </c>
      <c r="B77" s="102"/>
      <c r="C77" s="103"/>
      <c r="D77" s="28">
        <v>54</v>
      </c>
      <c r="E77" s="28">
        <v>27.25</v>
      </c>
      <c r="F77" s="28">
        <v>23.75</v>
      </c>
      <c r="G77" s="28"/>
      <c r="H77" s="28"/>
      <c r="I77" s="28">
        <v>18</v>
      </c>
      <c r="J77" s="28"/>
      <c r="K77" s="150">
        <f t="shared" si="3"/>
        <v>1.3194444444444444</v>
      </c>
      <c r="L77" s="171">
        <f t="shared" si="4"/>
        <v>2.6526315789473678</v>
      </c>
      <c r="M77" s="174">
        <f t="shared" si="5"/>
        <v>3.5</v>
      </c>
    </row>
    <row r="78" spans="1:13" x14ac:dyDescent="0.25">
      <c r="A78" s="101" t="s">
        <v>111</v>
      </c>
      <c r="B78" s="102"/>
      <c r="C78" s="103"/>
      <c r="D78" s="28">
        <v>55</v>
      </c>
      <c r="E78" s="28">
        <v>8</v>
      </c>
      <c r="F78" s="28">
        <v>5.75</v>
      </c>
      <c r="G78" s="28"/>
      <c r="H78" s="28"/>
      <c r="I78" s="28">
        <v>4</v>
      </c>
      <c r="J78" s="28"/>
      <c r="K78" s="150">
        <f t="shared" si="3"/>
        <v>1.4375</v>
      </c>
      <c r="L78" s="171">
        <f t="shared" si="4"/>
        <v>1.5652173913043477</v>
      </c>
      <c r="M78" s="174">
        <f t="shared" si="5"/>
        <v>2.25</v>
      </c>
    </row>
    <row r="79" spans="1:13" x14ac:dyDescent="0.25">
      <c r="A79" s="101" t="s">
        <v>112</v>
      </c>
      <c r="B79" s="102"/>
      <c r="C79" s="103"/>
      <c r="D79" s="28">
        <v>56</v>
      </c>
      <c r="E79" s="28">
        <v>567.25</v>
      </c>
      <c r="F79" s="28">
        <v>549</v>
      </c>
      <c r="G79" s="28">
        <v>297.75</v>
      </c>
      <c r="H79" s="28">
        <v>296.25</v>
      </c>
      <c r="I79" s="28">
        <v>444</v>
      </c>
      <c r="J79" s="28">
        <v>247</v>
      </c>
      <c r="K79" s="150">
        <f t="shared" si="3"/>
        <v>1.2364864864864864</v>
      </c>
      <c r="L79" s="171">
        <f t="shared" si="4"/>
        <v>14.759562841530112</v>
      </c>
      <c r="M79" s="174">
        <f t="shared" si="5"/>
        <v>18.25</v>
      </c>
    </row>
    <row r="80" spans="1:13" x14ac:dyDescent="0.25">
      <c r="A80" s="101" t="s">
        <v>113</v>
      </c>
      <c r="B80" s="102"/>
      <c r="C80" s="103"/>
      <c r="D80" s="28" t="s">
        <v>114</v>
      </c>
      <c r="E80" s="28">
        <v>3.75</v>
      </c>
      <c r="F80" s="28">
        <v>2.25</v>
      </c>
      <c r="G80" s="28">
        <v>2.25</v>
      </c>
      <c r="H80" s="28">
        <v>2.25</v>
      </c>
      <c r="I80" s="28">
        <v>1</v>
      </c>
      <c r="J80" s="28">
        <v>1</v>
      </c>
      <c r="K80" s="150">
        <f t="shared" si="3"/>
        <v>2.25</v>
      </c>
      <c r="L80" s="171">
        <f t="shared" si="4"/>
        <v>0.66666666666666674</v>
      </c>
      <c r="M80" s="174">
        <f t="shared" si="5"/>
        <v>1.5</v>
      </c>
    </row>
    <row r="81" spans="1:13" x14ac:dyDescent="0.25">
      <c r="A81" s="101" t="s">
        <v>115</v>
      </c>
      <c r="B81" s="102"/>
      <c r="C81" s="103"/>
      <c r="D81" s="28">
        <v>57</v>
      </c>
      <c r="E81" s="28">
        <v>460</v>
      </c>
      <c r="F81" s="28">
        <v>451</v>
      </c>
      <c r="G81" s="28">
        <v>356</v>
      </c>
      <c r="H81" s="28">
        <v>353.5</v>
      </c>
      <c r="I81" s="28">
        <v>334</v>
      </c>
      <c r="J81" s="28">
        <v>272</v>
      </c>
      <c r="K81" s="150">
        <f t="shared" si="3"/>
        <v>1.3502994011976048</v>
      </c>
      <c r="L81" s="171">
        <f t="shared" si="4"/>
        <v>6.6651884700664823</v>
      </c>
      <c r="M81" s="174">
        <f t="shared" si="5"/>
        <v>9</v>
      </c>
    </row>
    <row r="82" spans="1:13" x14ac:dyDescent="0.25">
      <c r="A82" s="101" t="s">
        <v>116</v>
      </c>
      <c r="B82" s="102"/>
      <c r="C82" s="103"/>
      <c r="D82" s="28" t="s">
        <v>117</v>
      </c>
      <c r="E82" s="28">
        <v>259.25</v>
      </c>
      <c r="F82" s="28">
        <v>257.25</v>
      </c>
      <c r="G82" s="28">
        <v>259.25</v>
      </c>
      <c r="H82" s="28">
        <v>257.25</v>
      </c>
      <c r="I82" s="28">
        <v>206</v>
      </c>
      <c r="J82" s="28">
        <v>206</v>
      </c>
      <c r="K82" s="150">
        <f t="shared" si="3"/>
        <v>1.2487864077669903</v>
      </c>
      <c r="L82" s="171">
        <f t="shared" si="4"/>
        <v>1.6015549076773539</v>
      </c>
      <c r="M82" s="174">
        <f t="shared" si="5"/>
        <v>2</v>
      </c>
    </row>
    <row r="83" spans="1:13" x14ac:dyDescent="0.25">
      <c r="A83" s="101" t="s">
        <v>118</v>
      </c>
      <c r="B83" s="102"/>
      <c r="C83" s="103"/>
      <c r="D83" s="28">
        <v>58</v>
      </c>
      <c r="E83" s="28">
        <v>134.25</v>
      </c>
      <c r="F83" s="28">
        <v>127.25</v>
      </c>
      <c r="G83" s="28"/>
      <c r="H83" s="28"/>
      <c r="I83" s="28">
        <v>100</v>
      </c>
      <c r="J83" s="28"/>
      <c r="K83" s="150">
        <f t="shared" si="3"/>
        <v>1.2725</v>
      </c>
      <c r="L83" s="171">
        <f t="shared" si="4"/>
        <v>5.5009823182711273</v>
      </c>
      <c r="M83" s="174">
        <f t="shared" si="5"/>
        <v>7</v>
      </c>
    </row>
    <row r="84" spans="1:13" x14ac:dyDescent="0.25">
      <c r="A84" s="101" t="s">
        <v>119</v>
      </c>
      <c r="B84" s="102"/>
      <c r="C84" s="103"/>
      <c r="D84" s="28">
        <v>59</v>
      </c>
      <c r="E84" s="28">
        <v>86.5</v>
      </c>
      <c r="F84" s="28">
        <v>82.5</v>
      </c>
      <c r="G84" s="28">
        <v>68.5</v>
      </c>
      <c r="H84" s="28">
        <v>64.75</v>
      </c>
      <c r="I84" s="28">
        <v>62</v>
      </c>
      <c r="J84" s="28">
        <v>49</v>
      </c>
      <c r="K84" s="150">
        <f t="shared" si="3"/>
        <v>1.3306451612903225</v>
      </c>
      <c r="L84" s="171">
        <f t="shared" si="4"/>
        <v>3.0060606060606148</v>
      </c>
      <c r="M84" s="174">
        <f t="shared" si="5"/>
        <v>4</v>
      </c>
    </row>
    <row r="85" spans="1:13" x14ac:dyDescent="0.25">
      <c r="A85" s="101" t="s">
        <v>120</v>
      </c>
      <c r="B85" s="102"/>
      <c r="C85" s="103"/>
      <c r="D85" s="28">
        <v>60</v>
      </c>
      <c r="E85" s="28">
        <v>34.25</v>
      </c>
      <c r="F85" s="28">
        <v>32.25</v>
      </c>
      <c r="G85" s="28">
        <v>19.25</v>
      </c>
      <c r="H85" s="28">
        <v>18</v>
      </c>
      <c r="I85" s="28">
        <v>19</v>
      </c>
      <c r="J85" s="28">
        <v>11</v>
      </c>
      <c r="K85" s="150">
        <f t="shared" si="3"/>
        <v>1.6973684210526316</v>
      </c>
      <c r="L85" s="171">
        <f t="shared" si="4"/>
        <v>1.1782945736434094</v>
      </c>
      <c r="M85" s="174">
        <f t="shared" si="5"/>
        <v>2</v>
      </c>
    </row>
    <row r="86" spans="1:13" x14ac:dyDescent="0.25">
      <c r="A86" s="101" t="s">
        <v>121</v>
      </c>
      <c r="B86" s="102"/>
      <c r="C86" s="103"/>
      <c r="D86" s="28">
        <v>61</v>
      </c>
      <c r="E86" s="28">
        <v>84.75</v>
      </c>
      <c r="F86" s="28">
        <v>80</v>
      </c>
      <c r="G86" s="28">
        <v>60.75</v>
      </c>
      <c r="H86" s="28">
        <v>58.25</v>
      </c>
      <c r="I86" s="28">
        <v>63</v>
      </c>
      <c r="J86" s="28">
        <v>48</v>
      </c>
      <c r="K86" s="150">
        <f t="shared" si="3"/>
        <v>1.2698412698412698</v>
      </c>
      <c r="L86" s="171">
        <f t="shared" si="4"/>
        <v>3.7406250000000085</v>
      </c>
      <c r="M86" s="174">
        <f t="shared" si="5"/>
        <v>4.75</v>
      </c>
    </row>
    <row r="87" spans="1:13" x14ac:dyDescent="0.25">
      <c r="A87" s="101" t="s">
        <v>122</v>
      </c>
      <c r="B87" s="102"/>
      <c r="C87" s="103"/>
      <c r="D87" s="28">
        <v>62</v>
      </c>
      <c r="E87" s="28">
        <v>43</v>
      </c>
      <c r="F87" s="28">
        <v>42</v>
      </c>
      <c r="G87" s="28">
        <v>23.25</v>
      </c>
      <c r="H87" s="28">
        <v>22.5</v>
      </c>
      <c r="I87" s="28">
        <v>28</v>
      </c>
      <c r="J87" s="28">
        <v>15</v>
      </c>
      <c r="K87" s="150">
        <f t="shared" si="3"/>
        <v>1.5</v>
      </c>
      <c r="L87" s="171">
        <f t="shared" si="4"/>
        <v>0.66666666666666785</v>
      </c>
      <c r="M87" s="174">
        <f t="shared" si="5"/>
        <v>1</v>
      </c>
    </row>
    <row r="88" spans="1:13" x14ac:dyDescent="0.25">
      <c r="A88" s="101" t="s">
        <v>123</v>
      </c>
      <c r="B88" s="102"/>
      <c r="C88" s="103"/>
      <c r="D88" s="28" t="s">
        <v>124</v>
      </c>
      <c r="E88" s="28">
        <v>2.75</v>
      </c>
      <c r="F88" s="28">
        <v>2.75</v>
      </c>
      <c r="G88" s="28">
        <v>1.25</v>
      </c>
      <c r="H88" s="28">
        <v>1.25</v>
      </c>
      <c r="I88" s="28">
        <v>2</v>
      </c>
      <c r="J88" s="28">
        <v>1</v>
      </c>
      <c r="K88" s="150">
        <f t="shared" si="3"/>
        <v>1.375</v>
      </c>
      <c r="L88" s="171">
        <f t="shared" si="4"/>
        <v>0</v>
      </c>
      <c r="M88" s="174">
        <f t="shared" si="5"/>
        <v>0</v>
      </c>
    </row>
    <row r="89" spans="1:13" x14ac:dyDescent="0.25">
      <c r="A89" s="101" t="s">
        <v>125</v>
      </c>
      <c r="B89" s="102"/>
      <c r="C89" s="103"/>
      <c r="D89" s="28">
        <v>63</v>
      </c>
      <c r="E89" s="28">
        <v>82</v>
      </c>
      <c r="F89" s="28">
        <v>77.75</v>
      </c>
      <c r="G89" s="28">
        <v>47</v>
      </c>
      <c r="H89" s="28">
        <v>46.75</v>
      </c>
      <c r="I89" s="28">
        <v>63</v>
      </c>
      <c r="J89" s="28">
        <v>31</v>
      </c>
      <c r="K89" s="150">
        <f t="shared" si="3"/>
        <v>1.2341269841269842</v>
      </c>
      <c r="L89" s="171">
        <f t="shared" si="4"/>
        <v>3.4437299035369762</v>
      </c>
      <c r="M89" s="174">
        <f t="shared" si="5"/>
        <v>4.25</v>
      </c>
    </row>
    <row r="90" spans="1:13" x14ac:dyDescent="0.25">
      <c r="A90" s="101" t="s">
        <v>126</v>
      </c>
      <c r="B90" s="102"/>
      <c r="C90" s="103"/>
      <c r="D90" s="28">
        <v>64</v>
      </c>
      <c r="E90" s="28">
        <v>32</v>
      </c>
      <c r="F90" s="28">
        <v>27.75</v>
      </c>
      <c r="G90" s="28">
        <v>25</v>
      </c>
      <c r="H90" s="28">
        <v>23.75</v>
      </c>
      <c r="I90" s="28">
        <v>16</v>
      </c>
      <c r="J90" s="28">
        <v>13</v>
      </c>
      <c r="K90" s="150">
        <f t="shared" si="3"/>
        <v>1.734375</v>
      </c>
      <c r="L90" s="171">
        <f t="shared" si="4"/>
        <v>2.4504504504504503</v>
      </c>
      <c r="M90" s="174">
        <f t="shared" si="5"/>
        <v>4.25</v>
      </c>
    </row>
    <row r="91" spans="1:13" x14ac:dyDescent="0.25">
      <c r="A91" s="101" t="s">
        <v>127</v>
      </c>
      <c r="B91" s="102"/>
      <c r="C91" s="103"/>
      <c r="D91" s="28">
        <v>65</v>
      </c>
      <c r="E91" s="28">
        <v>186.5</v>
      </c>
      <c r="F91" s="28">
        <v>178.25</v>
      </c>
      <c r="G91" s="28">
        <v>80.25</v>
      </c>
      <c r="H91" s="28">
        <v>79</v>
      </c>
      <c r="I91" s="28">
        <v>121</v>
      </c>
      <c r="J91" s="28">
        <v>62</v>
      </c>
      <c r="K91" s="150">
        <f t="shared" si="3"/>
        <v>1.4731404958677685</v>
      </c>
      <c r="L91" s="171">
        <f t="shared" si="4"/>
        <v>5.600280504908838</v>
      </c>
      <c r="M91" s="174">
        <f t="shared" si="5"/>
        <v>8.25</v>
      </c>
    </row>
    <row r="92" spans="1:13" x14ac:dyDescent="0.25">
      <c r="A92" s="101" t="s">
        <v>128</v>
      </c>
      <c r="B92" s="102"/>
      <c r="C92" s="103"/>
      <c r="D92" s="28">
        <v>66</v>
      </c>
      <c r="E92" s="28">
        <v>73.25</v>
      </c>
      <c r="F92" s="28">
        <v>67.5</v>
      </c>
      <c r="G92" s="28">
        <v>33.75</v>
      </c>
      <c r="H92" s="28">
        <v>31.5</v>
      </c>
      <c r="I92" s="28">
        <v>50</v>
      </c>
      <c r="J92" s="28">
        <v>22</v>
      </c>
      <c r="K92" s="150">
        <f t="shared" si="3"/>
        <v>1.35</v>
      </c>
      <c r="L92" s="171">
        <f t="shared" si="4"/>
        <v>4.2592592592592524</v>
      </c>
      <c r="M92" s="174">
        <f t="shared" si="5"/>
        <v>5.75</v>
      </c>
    </row>
    <row r="93" spans="1:13" x14ac:dyDescent="0.25">
      <c r="A93" s="101" t="s">
        <v>129</v>
      </c>
      <c r="B93" s="102"/>
      <c r="C93" s="103"/>
      <c r="D93" s="28">
        <v>67</v>
      </c>
      <c r="E93" s="28">
        <v>204.75</v>
      </c>
      <c r="F93" s="28">
        <v>170</v>
      </c>
      <c r="G93" s="28">
        <v>52.5</v>
      </c>
      <c r="H93" s="28">
        <v>51.25</v>
      </c>
      <c r="I93" s="28">
        <v>141</v>
      </c>
      <c r="J93" s="28">
        <v>46</v>
      </c>
      <c r="K93" s="150">
        <f t="shared" si="3"/>
        <v>1.2056737588652482</v>
      </c>
      <c r="L93" s="171">
        <f t="shared" si="4"/>
        <v>28.822058823529403</v>
      </c>
      <c r="M93" s="174">
        <f t="shared" si="5"/>
        <v>34.75</v>
      </c>
    </row>
    <row r="94" spans="1:13" x14ac:dyDescent="0.25">
      <c r="A94" s="101" t="s">
        <v>130</v>
      </c>
      <c r="B94" s="102"/>
      <c r="C94" s="103"/>
      <c r="D94" s="28" t="s">
        <v>131</v>
      </c>
      <c r="E94" s="28">
        <v>64</v>
      </c>
      <c r="F94" s="28">
        <v>44</v>
      </c>
      <c r="G94" s="28">
        <v>20.25</v>
      </c>
      <c r="H94" s="28">
        <v>19</v>
      </c>
      <c r="I94" s="28">
        <v>40</v>
      </c>
      <c r="J94" s="28">
        <v>20</v>
      </c>
      <c r="K94" s="150">
        <f t="shared" si="3"/>
        <v>1.1000000000000001</v>
      </c>
      <c r="L94" s="171">
        <f t="shared" si="4"/>
        <v>18.18181818181818</v>
      </c>
      <c r="M94" s="174">
        <f t="shared" si="5"/>
        <v>20</v>
      </c>
    </row>
    <row r="95" spans="1:13" x14ac:dyDescent="0.25">
      <c r="A95" s="101" t="s">
        <v>132</v>
      </c>
      <c r="B95" s="102"/>
      <c r="C95" s="103"/>
      <c r="D95" s="28" t="s">
        <v>133</v>
      </c>
      <c r="E95" s="28">
        <v>11.25</v>
      </c>
      <c r="F95" s="28">
        <v>10.25</v>
      </c>
      <c r="G95" s="28">
        <v>1</v>
      </c>
      <c r="H95" s="28">
        <v>1</v>
      </c>
      <c r="I95" s="28">
        <v>9</v>
      </c>
      <c r="J95" s="28"/>
      <c r="K95" s="150">
        <f t="shared" si="3"/>
        <v>1.1388888888888888</v>
      </c>
      <c r="L95" s="171">
        <f t="shared" si="4"/>
        <v>0.87804878048780566</v>
      </c>
      <c r="M95" s="174">
        <f t="shared" si="5"/>
        <v>1</v>
      </c>
    </row>
    <row r="96" spans="1:13" x14ac:dyDescent="0.25">
      <c r="A96" s="101" t="s">
        <v>134</v>
      </c>
      <c r="B96" s="102"/>
      <c r="C96" s="103"/>
      <c r="D96" s="28" t="s">
        <v>135</v>
      </c>
      <c r="E96" s="28"/>
      <c r="F96" s="28"/>
      <c r="G96" s="28"/>
      <c r="H96" s="28"/>
      <c r="I96" s="28"/>
      <c r="J96" s="28"/>
      <c r="K96" s="150"/>
      <c r="L96" s="171"/>
      <c r="M96" s="174"/>
    </row>
    <row r="97" spans="1:13" x14ac:dyDescent="0.25">
      <c r="A97" s="101" t="s">
        <v>136</v>
      </c>
      <c r="B97" s="102"/>
      <c r="C97" s="103"/>
      <c r="D97" s="28" t="s">
        <v>137</v>
      </c>
      <c r="E97" s="28">
        <v>1.5</v>
      </c>
      <c r="F97" s="28">
        <v>1</v>
      </c>
      <c r="G97" s="28"/>
      <c r="H97" s="28"/>
      <c r="I97" s="28">
        <v>1</v>
      </c>
      <c r="J97" s="28"/>
      <c r="K97" s="150">
        <f t="shared" si="3"/>
        <v>1</v>
      </c>
      <c r="L97" s="171">
        <f t="shared" si="4"/>
        <v>0.5</v>
      </c>
      <c r="M97" s="174">
        <f t="shared" si="5"/>
        <v>0.5</v>
      </c>
    </row>
    <row r="98" spans="1:13" x14ac:dyDescent="0.25">
      <c r="A98" s="101" t="s">
        <v>138</v>
      </c>
      <c r="B98" s="102"/>
      <c r="C98" s="103"/>
      <c r="D98" s="28" t="s">
        <v>139</v>
      </c>
      <c r="E98" s="28"/>
      <c r="F98" s="28"/>
      <c r="G98" s="28"/>
      <c r="H98" s="28"/>
      <c r="I98" s="28"/>
      <c r="J98" s="28"/>
      <c r="K98" s="150"/>
      <c r="L98" s="171"/>
      <c r="M98" s="174"/>
    </row>
    <row r="99" spans="1:13" x14ac:dyDescent="0.25">
      <c r="A99" s="101" t="s">
        <v>140</v>
      </c>
      <c r="B99" s="102"/>
      <c r="C99" s="103"/>
      <c r="D99" s="28" t="s">
        <v>141</v>
      </c>
      <c r="E99" s="28">
        <v>11</v>
      </c>
      <c r="F99" s="28">
        <v>11</v>
      </c>
      <c r="G99" s="28"/>
      <c r="H99" s="28"/>
      <c r="I99" s="28">
        <v>11</v>
      </c>
      <c r="J99" s="28"/>
      <c r="K99" s="150">
        <f t="shared" si="3"/>
        <v>1</v>
      </c>
      <c r="L99" s="171"/>
      <c r="M99" s="174"/>
    </row>
    <row r="100" spans="1:13" x14ac:dyDescent="0.25">
      <c r="A100" s="101" t="s">
        <v>142</v>
      </c>
      <c r="B100" s="102"/>
      <c r="C100" s="103"/>
      <c r="D100" s="28" t="s">
        <v>143</v>
      </c>
      <c r="E100" s="28">
        <v>117</v>
      </c>
      <c r="F100" s="28">
        <v>101.75</v>
      </c>
      <c r="G100" s="28">
        <v>31.25</v>
      </c>
      <c r="H100" s="28">
        <v>31.25</v>
      </c>
      <c r="I100" s="28">
        <v>80</v>
      </c>
      <c r="J100" s="28">
        <v>26</v>
      </c>
      <c r="K100" s="150">
        <f t="shared" si="3"/>
        <v>1.2718750000000001</v>
      </c>
      <c r="L100" s="171">
        <f t="shared" si="4"/>
        <v>11.990171990171987</v>
      </c>
      <c r="M100" s="174">
        <f t="shared" si="5"/>
        <v>15.25</v>
      </c>
    </row>
    <row r="101" spans="1:13" x14ac:dyDescent="0.25">
      <c r="A101" s="101" t="s">
        <v>144</v>
      </c>
      <c r="B101" s="102"/>
      <c r="C101" s="103"/>
      <c r="D101" s="28">
        <v>68</v>
      </c>
      <c r="E101" s="28">
        <v>13</v>
      </c>
      <c r="F101" s="28">
        <v>12</v>
      </c>
      <c r="G101" s="28">
        <v>6</v>
      </c>
      <c r="H101" s="28">
        <v>6</v>
      </c>
      <c r="I101" s="28">
        <v>10</v>
      </c>
      <c r="J101" s="28">
        <v>6</v>
      </c>
      <c r="K101" s="150">
        <f>F101/I101</f>
        <v>1.2</v>
      </c>
      <c r="L101" s="171">
        <f t="shared" si="4"/>
        <v>0.83333333333333393</v>
      </c>
      <c r="M101" s="174">
        <f t="shared" si="5"/>
        <v>1</v>
      </c>
    </row>
    <row r="102" spans="1:13" x14ac:dyDescent="0.25">
      <c r="A102" s="101" t="s">
        <v>145</v>
      </c>
      <c r="B102" s="102"/>
      <c r="C102" s="103"/>
      <c r="D102" s="28" t="s">
        <v>146</v>
      </c>
      <c r="E102" s="28"/>
      <c r="F102" s="28"/>
      <c r="G102" s="28"/>
      <c r="H102" s="28"/>
      <c r="I102" s="28"/>
      <c r="J102" s="28"/>
      <c r="K102" s="150"/>
      <c r="L102" s="171"/>
      <c r="M102" s="174"/>
    </row>
    <row r="103" spans="1:13" x14ac:dyDescent="0.25">
      <c r="A103" s="101" t="s">
        <v>147</v>
      </c>
      <c r="B103" s="102"/>
      <c r="C103" s="103"/>
      <c r="D103" s="28" t="s">
        <v>148</v>
      </c>
      <c r="E103" s="28"/>
      <c r="F103" s="28"/>
      <c r="G103" s="28"/>
      <c r="H103" s="28"/>
      <c r="I103" s="28"/>
      <c r="J103" s="28"/>
      <c r="K103" s="150"/>
      <c r="L103" s="171"/>
      <c r="M103" s="174"/>
    </row>
    <row r="104" spans="1:13" x14ac:dyDescent="0.25">
      <c r="A104" s="101" t="s">
        <v>149</v>
      </c>
      <c r="B104" s="102"/>
      <c r="C104" s="103"/>
      <c r="D104" s="28" t="s">
        <v>150</v>
      </c>
      <c r="E104" s="28"/>
      <c r="F104" s="28"/>
      <c r="G104" s="28"/>
      <c r="H104" s="28"/>
      <c r="I104" s="28"/>
      <c r="J104" s="28"/>
      <c r="K104" s="150"/>
      <c r="L104" s="171"/>
      <c r="M104" s="174"/>
    </row>
    <row r="105" spans="1:13" x14ac:dyDescent="0.25">
      <c r="A105" s="101" t="s">
        <v>151</v>
      </c>
      <c r="B105" s="102"/>
      <c r="C105" s="103"/>
      <c r="D105" s="28" t="s">
        <v>152</v>
      </c>
      <c r="E105" s="28"/>
      <c r="F105" s="28"/>
      <c r="G105" s="28"/>
      <c r="H105" s="28"/>
      <c r="I105" s="28"/>
      <c r="J105" s="28"/>
      <c r="K105" s="150"/>
      <c r="L105" s="171"/>
      <c r="M105" s="174"/>
    </row>
    <row r="106" spans="1:13" x14ac:dyDescent="0.25">
      <c r="A106" s="101" t="s">
        <v>153</v>
      </c>
      <c r="B106" s="102"/>
      <c r="C106" s="103"/>
      <c r="D106" s="28" t="s">
        <v>154</v>
      </c>
      <c r="E106" s="28"/>
      <c r="F106" s="28"/>
      <c r="G106" s="28"/>
      <c r="H106" s="28"/>
      <c r="I106" s="28"/>
      <c r="J106" s="28"/>
      <c r="K106" s="150"/>
      <c r="L106" s="171"/>
      <c r="M106" s="174"/>
    </row>
    <row r="107" spans="1:13" x14ac:dyDescent="0.25">
      <c r="A107" s="101" t="s">
        <v>155</v>
      </c>
      <c r="B107" s="102"/>
      <c r="C107" s="103"/>
      <c r="D107" s="28" t="s">
        <v>156</v>
      </c>
      <c r="E107" s="28">
        <v>13</v>
      </c>
      <c r="F107" s="28">
        <v>12</v>
      </c>
      <c r="G107" s="28">
        <v>6</v>
      </c>
      <c r="H107" s="28">
        <v>6</v>
      </c>
      <c r="I107" s="28">
        <v>10</v>
      </c>
      <c r="J107" s="28">
        <v>6</v>
      </c>
      <c r="K107" s="150">
        <f t="shared" ref="K107" si="6">F107/I107</f>
        <v>1.2</v>
      </c>
      <c r="L107" s="171">
        <f t="shared" si="4"/>
        <v>0.83333333333333393</v>
      </c>
      <c r="M107" s="174">
        <f t="shared" si="5"/>
        <v>1</v>
      </c>
    </row>
    <row r="108" spans="1:13" x14ac:dyDescent="0.25">
      <c r="A108" s="101" t="s">
        <v>157</v>
      </c>
      <c r="B108" s="102"/>
      <c r="C108" s="103"/>
      <c r="D108" s="28">
        <v>69</v>
      </c>
      <c r="E108" s="28">
        <v>61</v>
      </c>
      <c r="F108" s="28">
        <v>58</v>
      </c>
      <c r="G108" s="28">
        <v>48.5</v>
      </c>
      <c r="H108" s="28">
        <v>46.5</v>
      </c>
      <c r="I108" s="28">
        <v>48</v>
      </c>
      <c r="J108" s="28">
        <v>37</v>
      </c>
      <c r="K108" s="150">
        <f t="shared" si="3"/>
        <v>1.2083333333333333</v>
      </c>
      <c r="L108" s="171">
        <f t="shared" si="4"/>
        <v>2.4827586206896584</v>
      </c>
      <c r="M108" s="174">
        <f t="shared" si="5"/>
        <v>3</v>
      </c>
    </row>
    <row r="109" spans="1:13" x14ac:dyDescent="0.25">
      <c r="A109" s="101" t="s">
        <v>158</v>
      </c>
      <c r="B109" s="102"/>
      <c r="C109" s="103"/>
      <c r="D109" s="28">
        <v>70</v>
      </c>
      <c r="E109" s="28">
        <v>4.5</v>
      </c>
      <c r="F109" s="28">
        <v>4</v>
      </c>
      <c r="G109" s="28">
        <v>4.5</v>
      </c>
      <c r="H109" s="28">
        <v>4</v>
      </c>
      <c r="I109" s="28">
        <v>4</v>
      </c>
      <c r="J109" s="28">
        <v>4</v>
      </c>
      <c r="K109" s="150">
        <f t="shared" si="3"/>
        <v>1</v>
      </c>
      <c r="L109" s="171">
        <f t="shared" si="4"/>
        <v>0.5</v>
      </c>
      <c r="M109" s="174">
        <f t="shared" si="5"/>
        <v>0.5</v>
      </c>
    </row>
    <row r="110" spans="1:13" x14ac:dyDescent="0.25">
      <c r="A110" s="101" t="s">
        <v>159</v>
      </c>
      <c r="B110" s="102"/>
      <c r="C110" s="103"/>
      <c r="D110" s="28">
        <v>71</v>
      </c>
      <c r="E110" s="28"/>
      <c r="F110" s="28"/>
      <c r="G110" s="28"/>
      <c r="H110" s="28"/>
      <c r="I110" s="28"/>
      <c r="J110" s="28"/>
      <c r="K110" s="150"/>
      <c r="L110" s="171"/>
      <c r="M110" s="174"/>
    </row>
    <row r="111" spans="1:13" x14ac:dyDescent="0.25">
      <c r="A111" s="101" t="s">
        <v>160</v>
      </c>
      <c r="B111" s="102"/>
      <c r="C111" s="103"/>
      <c r="D111" s="28">
        <v>72</v>
      </c>
      <c r="E111" s="28">
        <v>29.5</v>
      </c>
      <c r="F111" s="28">
        <v>24.25</v>
      </c>
      <c r="G111" s="28"/>
      <c r="H111" s="28"/>
      <c r="I111" s="28">
        <v>20</v>
      </c>
      <c r="J111" s="28"/>
      <c r="K111" s="150">
        <f t="shared" si="3"/>
        <v>1.2124999999999999</v>
      </c>
      <c r="L111" s="171">
        <f t="shared" si="4"/>
        <v>4.3298969072164972</v>
      </c>
      <c r="M111" s="174">
        <f t="shared" si="5"/>
        <v>5.25</v>
      </c>
    </row>
    <row r="112" spans="1:13" x14ac:dyDescent="0.25">
      <c r="A112" s="101" t="s">
        <v>161</v>
      </c>
      <c r="B112" s="102"/>
      <c r="C112" s="103"/>
      <c r="D112" s="28">
        <v>73</v>
      </c>
      <c r="E112" s="28"/>
      <c r="F112" s="28"/>
      <c r="G112" s="28"/>
      <c r="H112" s="28"/>
      <c r="I112" s="28"/>
      <c r="J112" s="28"/>
      <c r="K112" s="150"/>
      <c r="L112" s="171"/>
      <c r="M112" s="174"/>
    </row>
    <row r="113" spans="1:13" x14ac:dyDescent="0.25">
      <c r="A113" s="101" t="s">
        <v>162</v>
      </c>
      <c r="B113" s="102"/>
      <c r="C113" s="103"/>
      <c r="D113" s="28">
        <v>74</v>
      </c>
      <c r="E113" s="28">
        <v>143.25</v>
      </c>
      <c r="F113" s="28">
        <v>126.5</v>
      </c>
      <c r="G113" s="28">
        <v>60.75</v>
      </c>
      <c r="H113" s="28">
        <v>57.75</v>
      </c>
      <c r="I113" s="28">
        <v>101</v>
      </c>
      <c r="J113" s="28">
        <v>46</v>
      </c>
      <c r="K113" s="150">
        <f t="shared" si="3"/>
        <v>1.2524752475247525</v>
      </c>
      <c r="L113" s="171">
        <f t="shared" si="4"/>
        <v>13.373517786561266</v>
      </c>
      <c r="M113" s="174">
        <f t="shared" si="5"/>
        <v>16.75</v>
      </c>
    </row>
    <row r="114" spans="1:13" x14ac:dyDescent="0.25">
      <c r="A114" s="101" t="s">
        <v>163</v>
      </c>
      <c r="B114" s="102"/>
      <c r="C114" s="103"/>
      <c r="D114" s="28" t="s">
        <v>164</v>
      </c>
      <c r="E114" s="28">
        <v>94.25</v>
      </c>
      <c r="F114" s="28">
        <v>79.75</v>
      </c>
      <c r="G114" s="28">
        <v>34.75</v>
      </c>
      <c r="H114" s="28">
        <v>32.25</v>
      </c>
      <c r="I114" s="28">
        <v>69</v>
      </c>
      <c r="J114" s="28">
        <v>27</v>
      </c>
      <c r="K114" s="150">
        <f t="shared" si="3"/>
        <v>1.1557971014492754</v>
      </c>
      <c r="L114" s="171">
        <f t="shared" si="4"/>
        <v>12.545454545454547</v>
      </c>
      <c r="M114" s="174">
        <f t="shared" si="5"/>
        <v>14.5</v>
      </c>
    </row>
    <row r="115" spans="1:13" x14ac:dyDescent="0.25">
      <c r="A115" s="101" t="s">
        <v>165</v>
      </c>
      <c r="B115" s="102"/>
      <c r="C115" s="103"/>
      <c r="D115" s="28" t="s">
        <v>166</v>
      </c>
      <c r="E115" s="28">
        <v>21</v>
      </c>
      <c r="F115" s="28">
        <v>19.25</v>
      </c>
      <c r="G115" s="28"/>
      <c r="H115" s="28"/>
      <c r="I115" s="28">
        <v>12</v>
      </c>
      <c r="J115" s="28"/>
      <c r="K115" s="150">
        <f t="shared" si="3"/>
        <v>1.6041666666666667</v>
      </c>
      <c r="L115" s="171">
        <f t="shared" si="4"/>
        <v>1.0909090909090899</v>
      </c>
      <c r="M115" s="174">
        <f t="shared" si="5"/>
        <v>1.75</v>
      </c>
    </row>
    <row r="116" spans="1:13" x14ac:dyDescent="0.25">
      <c r="A116" s="101" t="s">
        <v>167</v>
      </c>
      <c r="B116" s="102"/>
      <c r="C116" s="103"/>
      <c r="D116" s="28" t="s">
        <v>168</v>
      </c>
      <c r="E116" s="28"/>
      <c r="F116" s="28"/>
      <c r="G116" s="28"/>
      <c r="H116" s="28"/>
      <c r="I116" s="28"/>
      <c r="J116" s="28"/>
      <c r="K116" s="150"/>
      <c r="L116" s="171"/>
      <c r="M116" s="174"/>
    </row>
    <row r="117" spans="1:13" x14ac:dyDescent="0.25">
      <c r="A117" s="101" t="s">
        <v>169</v>
      </c>
      <c r="B117" s="102"/>
      <c r="C117" s="103"/>
      <c r="D117" s="32" t="s">
        <v>170</v>
      </c>
      <c r="E117" s="28"/>
      <c r="F117" s="28"/>
      <c r="G117" s="28"/>
      <c r="H117" s="28"/>
      <c r="I117" s="28"/>
      <c r="J117" s="28"/>
      <c r="K117" s="150"/>
      <c r="L117" s="171"/>
      <c r="M117" s="174"/>
    </row>
    <row r="118" spans="1:13" x14ac:dyDescent="0.25">
      <c r="A118" s="101" t="s">
        <v>171</v>
      </c>
      <c r="B118" s="102"/>
      <c r="C118" s="103"/>
      <c r="D118" s="32">
        <v>75</v>
      </c>
      <c r="E118" s="28">
        <v>198.5</v>
      </c>
      <c r="F118" s="28">
        <v>180</v>
      </c>
      <c r="G118" s="28">
        <v>53</v>
      </c>
      <c r="H118" s="28">
        <v>51</v>
      </c>
      <c r="I118" s="28">
        <v>136</v>
      </c>
      <c r="J118" s="28">
        <v>36</v>
      </c>
      <c r="K118" s="150">
        <f t="shared" si="3"/>
        <v>1.3235294117647058</v>
      </c>
      <c r="L118" s="171">
        <f t="shared" si="4"/>
        <v>13.977777777777789</v>
      </c>
      <c r="M118" s="174">
        <f t="shared" si="5"/>
        <v>18.5</v>
      </c>
    </row>
    <row r="119" spans="1:13" x14ac:dyDescent="0.25">
      <c r="A119" s="101" t="s">
        <v>172</v>
      </c>
      <c r="B119" s="102"/>
      <c r="C119" s="103"/>
      <c r="D119" s="32" t="s">
        <v>173</v>
      </c>
      <c r="E119" s="28">
        <v>12</v>
      </c>
      <c r="F119" s="28">
        <v>11.5</v>
      </c>
      <c r="G119" s="28"/>
      <c r="H119" s="28"/>
      <c r="I119" s="28">
        <v>6</v>
      </c>
      <c r="J119" s="28"/>
      <c r="K119" s="150">
        <f t="shared" si="3"/>
        <v>1.9166666666666667</v>
      </c>
      <c r="L119" s="171">
        <f t="shared" si="4"/>
        <v>0.26086956521739069</v>
      </c>
      <c r="M119" s="174">
        <f t="shared" si="5"/>
        <v>0.5</v>
      </c>
    </row>
    <row r="120" spans="1:13" x14ac:dyDescent="0.25">
      <c r="A120" s="101" t="s">
        <v>174</v>
      </c>
      <c r="B120" s="102"/>
      <c r="C120" s="103"/>
      <c r="D120" s="32">
        <v>76</v>
      </c>
      <c r="E120" s="28">
        <v>7.75</v>
      </c>
      <c r="F120" s="28">
        <v>5</v>
      </c>
      <c r="G120" s="28">
        <v>0.5</v>
      </c>
      <c r="H120" s="28">
        <v>0.5</v>
      </c>
      <c r="I120" s="28">
        <v>4</v>
      </c>
      <c r="J120" s="28"/>
      <c r="K120" s="150">
        <f t="shared" si="3"/>
        <v>1.25</v>
      </c>
      <c r="L120" s="171">
        <f t="shared" si="4"/>
        <v>2.2000000000000002</v>
      </c>
      <c r="M120" s="174">
        <f t="shared" si="5"/>
        <v>2.75</v>
      </c>
    </row>
    <row r="121" spans="1:13" x14ac:dyDescent="0.25">
      <c r="A121" s="101" t="s">
        <v>175</v>
      </c>
      <c r="B121" s="102"/>
      <c r="C121" s="103"/>
      <c r="D121" s="32">
        <v>77</v>
      </c>
      <c r="E121" s="28">
        <v>402.25</v>
      </c>
      <c r="F121" s="28">
        <v>365.25</v>
      </c>
      <c r="G121" s="28">
        <v>196.5</v>
      </c>
      <c r="H121" s="28">
        <v>191.5</v>
      </c>
      <c r="I121" s="28">
        <v>263</v>
      </c>
      <c r="J121" s="28">
        <v>137</v>
      </c>
      <c r="K121" s="150">
        <f t="shared" si="3"/>
        <v>1.3887832699619771</v>
      </c>
      <c r="L121" s="171">
        <f t="shared" si="4"/>
        <v>26.64202600958248</v>
      </c>
      <c r="M121" s="174">
        <f t="shared" si="5"/>
        <v>37</v>
      </c>
    </row>
    <row r="122" spans="1:13" x14ac:dyDescent="0.25">
      <c r="A122" s="101" t="s">
        <v>176</v>
      </c>
      <c r="B122" s="102"/>
      <c r="C122" s="103"/>
      <c r="D122" s="32" t="s">
        <v>177</v>
      </c>
      <c r="E122" s="28">
        <v>20</v>
      </c>
      <c r="F122" s="28">
        <v>20</v>
      </c>
      <c r="G122" s="28">
        <v>20</v>
      </c>
      <c r="H122" s="28">
        <v>20</v>
      </c>
      <c r="I122" s="28">
        <v>17</v>
      </c>
      <c r="J122" s="28">
        <v>17</v>
      </c>
      <c r="K122" s="150">
        <f t="shared" si="3"/>
        <v>1.1764705882352942</v>
      </c>
      <c r="L122" s="171"/>
      <c r="M122" s="174"/>
    </row>
    <row r="123" spans="1:13" x14ac:dyDescent="0.25">
      <c r="A123" s="101" t="s">
        <v>178</v>
      </c>
      <c r="B123" s="102"/>
      <c r="C123" s="103"/>
      <c r="D123" s="32" t="s">
        <v>179</v>
      </c>
      <c r="E123" s="28">
        <v>155.25</v>
      </c>
      <c r="F123" s="28">
        <v>148</v>
      </c>
      <c r="G123" s="28">
        <v>72.5</v>
      </c>
      <c r="H123" s="28">
        <v>70.5</v>
      </c>
      <c r="I123" s="28">
        <v>109</v>
      </c>
      <c r="J123" s="28">
        <v>51</v>
      </c>
      <c r="K123" s="150">
        <f t="shared" si="3"/>
        <v>1.3577981651376148</v>
      </c>
      <c r="L123" s="171">
        <f t="shared" si="4"/>
        <v>5.3395270270270174</v>
      </c>
      <c r="M123" s="174">
        <f t="shared" si="5"/>
        <v>7.25</v>
      </c>
    </row>
    <row r="124" spans="1:13" x14ac:dyDescent="0.25">
      <c r="A124" s="101" t="s">
        <v>180</v>
      </c>
      <c r="B124" s="102"/>
      <c r="C124" s="103"/>
      <c r="D124" s="32" t="s">
        <v>181</v>
      </c>
      <c r="E124" s="28">
        <v>33.25</v>
      </c>
      <c r="F124" s="28">
        <v>28.5</v>
      </c>
      <c r="G124" s="28">
        <v>13</v>
      </c>
      <c r="H124" s="28">
        <v>11.75</v>
      </c>
      <c r="I124" s="28">
        <v>25</v>
      </c>
      <c r="J124" s="28">
        <v>10</v>
      </c>
      <c r="K124" s="150">
        <f t="shared" si="3"/>
        <v>1.1399999999999999</v>
      </c>
      <c r="L124" s="171">
        <f t="shared" si="4"/>
        <v>4.1666666666666679</v>
      </c>
      <c r="M124" s="174">
        <f t="shared" si="5"/>
        <v>4.75</v>
      </c>
    </row>
    <row r="125" spans="1:13" x14ac:dyDescent="0.25">
      <c r="A125" s="101" t="s">
        <v>182</v>
      </c>
      <c r="B125" s="102"/>
      <c r="C125" s="103"/>
      <c r="D125" s="32" t="s">
        <v>183</v>
      </c>
      <c r="E125" s="28">
        <v>150.25</v>
      </c>
      <c r="F125" s="28">
        <v>138.25</v>
      </c>
      <c r="G125" s="28">
        <v>86</v>
      </c>
      <c r="H125" s="28">
        <v>84</v>
      </c>
      <c r="I125" s="28">
        <v>89</v>
      </c>
      <c r="J125" s="28">
        <v>56</v>
      </c>
      <c r="K125" s="150">
        <f t="shared" si="3"/>
        <v>1.553370786516854</v>
      </c>
      <c r="L125" s="171">
        <f t="shared" si="4"/>
        <v>7.7251356238697895</v>
      </c>
      <c r="M125" s="174">
        <f t="shared" si="5"/>
        <v>12</v>
      </c>
    </row>
    <row r="126" spans="1:13" x14ac:dyDescent="0.25">
      <c r="A126" s="121" t="s">
        <v>184</v>
      </c>
      <c r="B126" s="122"/>
      <c r="C126" s="123"/>
      <c r="D126" s="32">
        <v>78</v>
      </c>
      <c r="E126" s="28">
        <v>11</v>
      </c>
      <c r="F126" s="28">
        <v>10.75</v>
      </c>
      <c r="G126" s="28">
        <v>11</v>
      </c>
      <c r="H126" s="28">
        <v>10.75</v>
      </c>
      <c r="I126" s="28">
        <v>7</v>
      </c>
      <c r="J126" s="28">
        <v>6</v>
      </c>
      <c r="K126" s="150">
        <f t="shared" si="3"/>
        <v>1.5357142857142858</v>
      </c>
      <c r="L126" s="171">
        <f t="shared" si="4"/>
        <v>0.16279069767441801</v>
      </c>
      <c r="M126" s="174">
        <f t="shared" si="5"/>
        <v>0.25</v>
      </c>
    </row>
    <row r="127" spans="1:13" x14ac:dyDescent="0.25">
      <c r="A127" s="101" t="s">
        <v>185</v>
      </c>
      <c r="B127" s="102"/>
      <c r="C127" s="103"/>
      <c r="D127" s="32">
        <v>79</v>
      </c>
      <c r="E127" s="28">
        <v>566.5</v>
      </c>
      <c r="F127" s="28">
        <v>539</v>
      </c>
      <c r="G127" s="28">
        <v>243</v>
      </c>
      <c r="H127" s="28">
        <v>239.75</v>
      </c>
      <c r="I127" s="28">
        <v>370</v>
      </c>
      <c r="J127" s="28">
        <v>168</v>
      </c>
      <c r="K127" s="150">
        <f t="shared" si="3"/>
        <v>1.4567567567567568</v>
      </c>
      <c r="L127" s="171">
        <f t="shared" si="4"/>
        <v>18.877551020408191</v>
      </c>
      <c r="M127" s="174">
        <f t="shared" si="5"/>
        <v>27.5</v>
      </c>
    </row>
    <row r="128" spans="1:13" x14ac:dyDescent="0.25">
      <c r="A128" s="101" t="s">
        <v>186</v>
      </c>
      <c r="B128" s="102"/>
      <c r="C128" s="103"/>
      <c r="D128" s="32" t="s">
        <v>187</v>
      </c>
      <c r="E128" s="28">
        <v>253.5</v>
      </c>
      <c r="F128" s="28">
        <v>242.75</v>
      </c>
      <c r="G128" s="28">
        <v>134.75</v>
      </c>
      <c r="H128" s="28">
        <v>132.75</v>
      </c>
      <c r="I128" s="28">
        <v>180</v>
      </c>
      <c r="J128" s="28">
        <v>98</v>
      </c>
      <c r="K128" s="150">
        <f t="shared" si="3"/>
        <v>1.3486111111111112</v>
      </c>
      <c r="L128" s="171">
        <f t="shared" si="4"/>
        <v>7.9711637487126552</v>
      </c>
      <c r="M128" s="174">
        <f t="shared" si="5"/>
        <v>10.75</v>
      </c>
    </row>
    <row r="129" spans="1:13" x14ac:dyDescent="0.25">
      <c r="A129" s="101" t="s">
        <v>188</v>
      </c>
      <c r="B129" s="102"/>
      <c r="C129" s="103"/>
      <c r="D129" s="32" t="s">
        <v>189</v>
      </c>
      <c r="E129" s="28">
        <v>203</v>
      </c>
      <c r="F129" s="28">
        <v>192</v>
      </c>
      <c r="G129" s="28">
        <v>98.75</v>
      </c>
      <c r="H129" s="28">
        <v>95.5</v>
      </c>
      <c r="I129" s="28">
        <v>119</v>
      </c>
      <c r="J129" s="28">
        <v>64</v>
      </c>
      <c r="K129" s="150">
        <f t="shared" si="3"/>
        <v>1.6134453781512605</v>
      </c>
      <c r="L129" s="171">
        <f t="shared" si="4"/>
        <v>6.8177083333333286</v>
      </c>
      <c r="M129" s="174">
        <f t="shared" si="5"/>
        <v>11</v>
      </c>
    </row>
    <row r="130" spans="1:13" x14ac:dyDescent="0.25">
      <c r="A130" s="73" t="s">
        <v>190</v>
      </c>
      <c r="B130" s="120"/>
      <c r="C130" s="74"/>
      <c r="D130" s="112" t="s">
        <v>191</v>
      </c>
      <c r="E130" s="112">
        <v>110</v>
      </c>
      <c r="F130" s="98">
        <v>101.5</v>
      </c>
      <c r="G130" s="98">
        <v>9.5</v>
      </c>
      <c r="H130" s="98">
        <v>8.75</v>
      </c>
      <c r="I130" s="98">
        <v>69</v>
      </c>
      <c r="J130" s="112">
        <v>5</v>
      </c>
      <c r="K130" s="169">
        <f t="shared" si="3"/>
        <v>1.4710144927536233</v>
      </c>
      <c r="L130" s="172">
        <f t="shared" si="4"/>
        <v>5.7783251231526975</v>
      </c>
      <c r="M130" s="175">
        <f t="shared" si="5"/>
        <v>8.5</v>
      </c>
    </row>
    <row r="131" spans="1:13" x14ac:dyDescent="0.25">
      <c r="A131" s="131"/>
      <c r="B131" s="132"/>
      <c r="C131" s="133"/>
      <c r="D131" s="113"/>
      <c r="E131" s="113"/>
      <c r="F131" s="98"/>
      <c r="G131" s="98"/>
      <c r="H131" s="98"/>
      <c r="I131" s="98"/>
      <c r="J131" s="113"/>
      <c r="K131" s="169"/>
      <c r="L131" s="172"/>
      <c r="M131" s="175"/>
    </row>
    <row r="132" spans="1:13" x14ac:dyDescent="0.25">
      <c r="A132" s="101" t="s">
        <v>192</v>
      </c>
      <c r="B132" s="102"/>
      <c r="C132" s="103"/>
      <c r="D132" s="32" t="s">
        <v>193</v>
      </c>
      <c r="E132" s="28"/>
      <c r="F132" s="28"/>
      <c r="G132" s="28"/>
      <c r="H132" s="28"/>
      <c r="I132" s="28"/>
      <c r="J132" s="28"/>
      <c r="K132" s="150"/>
      <c r="L132" s="171"/>
      <c r="M132" s="174"/>
    </row>
    <row r="133" spans="1:13" x14ac:dyDescent="0.25">
      <c r="A133" s="101" t="s">
        <v>194</v>
      </c>
      <c r="B133" s="102"/>
      <c r="C133" s="103"/>
      <c r="D133" s="28">
        <v>80</v>
      </c>
      <c r="E133" s="28">
        <v>1054.5</v>
      </c>
      <c r="F133" s="28">
        <v>1040.25</v>
      </c>
      <c r="G133" s="28">
        <v>1054.5</v>
      </c>
      <c r="H133" s="28">
        <v>1040.25</v>
      </c>
      <c r="I133" s="28">
        <v>844</v>
      </c>
      <c r="J133" s="28">
        <v>844</v>
      </c>
      <c r="K133" s="150">
        <f t="shared" si="3"/>
        <v>1.2325236966824644</v>
      </c>
      <c r="L133" s="171">
        <f t="shared" si="4"/>
        <v>11.561643835616451</v>
      </c>
      <c r="M133" s="174">
        <f t="shared" si="5"/>
        <v>14.25</v>
      </c>
    </row>
    <row r="134" spans="1:13" x14ac:dyDescent="0.25">
      <c r="A134" s="105" t="s">
        <v>195</v>
      </c>
      <c r="B134" s="106"/>
      <c r="C134" s="107"/>
      <c r="D134" s="31">
        <v>81</v>
      </c>
      <c r="E134" s="31">
        <v>2</v>
      </c>
      <c r="F134" s="31">
        <v>2</v>
      </c>
      <c r="G134" s="31">
        <v>1</v>
      </c>
      <c r="H134" s="31">
        <v>1</v>
      </c>
      <c r="I134" s="31">
        <v>3</v>
      </c>
      <c r="J134" s="31">
        <v>2</v>
      </c>
      <c r="K134" s="150">
        <f t="shared" ref="K134:K162" si="7">F134/I134</f>
        <v>0.66666666666666663</v>
      </c>
      <c r="L134" s="171"/>
      <c r="M134" s="174"/>
    </row>
    <row r="135" spans="1:13" x14ac:dyDescent="0.25">
      <c r="A135" s="121" t="s">
        <v>196</v>
      </c>
      <c r="B135" s="122"/>
      <c r="C135" s="123"/>
      <c r="D135" s="32">
        <v>82</v>
      </c>
      <c r="E135" s="28">
        <v>44.25</v>
      </c>
      <c r="F135" s="28">
        <v>34.75</v>
      </c>
      <c r="G135" s="28">
        <v>17.75</v>
      </c>
      <c r="H135" s="28">
        <v>14.5</v>
      </c>
      <c r="I135" s="28">
        <v>22</v>
      </c>
      <c r="J135" s="28">
        <v>8</v>
      </c>
      <c r="K135" s="150">
        <f t="shared" si="7"/>
        <v>1.5795454545454546</v>
      </c>
      <c r="L135" s="171">
        <f t="shared" ref="L135:L162" si="8">E135/K135-I135</f>
        <v>6.0143884892086312</v>
      </c>
      <c r="M135" s="174">
        <f t="shared" ref="M135:M162" si="9">E135-F135</f>
        <v>9.5</v>
      </c>
    </row>
    <row r="136" spans="1:13" x14ac:dyDescent="0.25">
      <c r="A136" s="101" t="s">
        <v>197</v>
      </c>
      <c r="B136" s="102"/>
      <c r="C136" s="103"/>
      <c r="D136" s="32">
        <v>83</v>
      </c>
      <c r="E136" s="28">
        <v>723.75</v>
      </c>
      <c r="F136" s="28">
        <v>656</v>
      </c>
      <c r="G136" s="28">
        <v>390.5</v>
      </c>
      <c r="H136" s="28">
        <v>373.75</v>
      </c>
      <c r="I136" s="28">
        <v>576</v>
      </c>
      <c r="J136" s="28">
        <v>324</v>
      </c>
      <c r="K136" s="150">
        <f t="shared" si="7"/>
        <v>1.1388888888888888</v>
      </c>
      <c r="L136" s="171">
        <f t="shared" si="8"/>
        <v>59.487804878048792</v>
      </c>
      <c r="M136" s="174">
        <f t="shared" si="9"/>
        <v>67.75</v>
      </c>
    </row>
    <row r="137" spans="1:13" x14ac:dyDescent="0.25">
      <c r="A137" s="101" t="s">
        <v>198</v>
      </c>
      <c r="B137" s="102"/>
      <c r="C137" s="103"/>
      <c r="D137" s="32" t="s">
        <v>199</v>
      </c>
      <c r="E137" s="28">
        <v>139</v>
      </c>
      <c r="F137" s="28">
        <v>131</v>
      </c>
      <c r="G137" s="28">
        <v>119</v>
      </c>
      <c r="H137" s="28">
        <v>113</v>
      </c>
      <c r="I137" s="28">
        <v>112</v>
      </c>
      <c r="J137" s="28">
        <v>93</v>
      </c>
      <c r="K137" s="150">
        <f t="shared" si="7"/>
        <v>1.1696428571428572</v>
      </c>
      <c r="L137" s="171">
        <f t="shared" si="8"/>
        <v>6.8396946564885468</v>
      </c>
      <c r="M137" s="174">
        <f t="shared" si="9"/>
        <v>8</v>
      </c>
    </row>
    <row r="138" spans="1:13" x14ac:dyDescent="0.25">
      <c r="A138" s="101" t="s">
        <v>200</v>
      </c>
      <c r="B138" s="102"/>
      <c r="C138" s="103"/>
      <c r="D138" s="32" t="s">
        <v>201</v>
      </c>
      <c r="E138" s="28">
        <v>266</v>
      </c>
      <c r="F138" s="28">
        <v>250.5</v>
      </c>
      <c r="G138" s="28">
        <v>176.25</v>
      </c>
      <c r="H138" s="28">
        <v>169.75</v>
      </c>
      <c r="I138" s="28">
        <v>202</v>
      </c>
      <c r="J138" s="28">
        <v>138</v>
      </c>
      <c r="K138" s="150">
        <f t="shared" si="7"/>
        <v>1.2400990099009901</v>
      </c>
      <c r="L138" s="171">
        <f t="shared" si="8"/>
        <v>12.499001996007991</v>
      </c>
      <c r="M138" s="174">
        <f t="shared" si="9"/>
        <v>15.5</v>
      </c>
    </row>
    <row r="139" spans="1:13" x14ac:dyDescent="0.25">
      <c r="A139" s="86" t="s">
        <v>202</v>
      </c>
      <c r="B139" s="87"/>
      <c r="C139" s="88"/>
      <c r="D139" s="58">
        <v>84</v>
      </c>
      <c r="E139" s="59">
        <v>15108</v>
      </c>
      <c r="F139" s="59">
        <v>14534.5</v>
      </c>
      <c r="G139" s="59">
        <v>7255.25</v>
      </c>
      <c r="H139" s="59">
        <v>7083.5</v>
      </c>
      <c r="I139" s="59">
        <v>11246</v>
      </c>
      <c r="J139" s="59">
        <v>5237</v>
      </c>
      <c r="K139" s="153">
        <f t="shared" si="7"/>
        <v>1.2924150809176596</v>
      </c>
      <c r="L139" s="170">
        <f t="shared" si="8"/>
        <v>443.74288761223397</v>
      </c>
      <c r="M139" s="173">
        <f t="shared" si="9"/>
        <v>573.5</v>
      </c>
    </row>
    <row r="140" spans="1:13" x14ac:dyDescent="0.25">
      <c r="A140" s="101" t="s">
        <v>203</v>
      </c>
      <c r="B140" s="102"/>
      <c r="C140" s="103"/>
      <c r="D140" s="32">
        <v>85</v>
      </c>
      <c r="E140" s="28">
        <v>9586.5</v>
      </c>
      <c r="F140" s="28">
        <v>9162</v>
      </c>
      <c r="G140" s="28">
        <v>3002.25</v>
      </c>
      <c r="H140" s="28">
        <v>2902</v>
      </c>
      <c r="I140" s="28">
        <v>7081</v>
      </c>
      <c r="J140" s="28">
        <v>2013</v>
      </c>
      <c r="K140" s="150">
        <f t="shared" si="7"/>
        <v>1.2938850444852421</v>
      </c>
      <c r="L140" s="171">
        <f t="shared" si="8"/>
        <v>328.08169613621521</v>
      </c>
      <c r="M140" s="174">
        <f t="shared" si="9"/>
        <v>424.5</v>
      </c>
    </row>
    <row r="141" spans="1:13" x14ac:dyDescent="0.25">
      <c r="A141" s="101" t="s">
        <v>204</v>
      </c>
      <c r="B141" s="102"/>
      <c r="C141" s="103"/>
      <c r="D141" s="32">
        <v>86</v>
      </c>
      <c r="E141" s="28">
        <v>895</v>
      </c>
      <c r="F141" s="28">
        <v>884.75</v>
      </c>
      <c r="G141" s="28">
        <v>867</v>
      </c>
      <c r="H141" s="28">
        <v>856.75</v>
      </c>
      <c r="I141" s="28">
        <v>750</v>
      </c>
      <c r="J141" s="28">
        <v>729</v>
      </c>
      <c r="K141" s="150">
        <f t="shared" si="7"/>
        <v>1.1796666666666666</v>
      </c>
      <c r="L141" s="171">
        <f t="shared" si="8"/>
        <v>8.688895168126578</v>
      </c>
      <c r="M141" s="174">
        <f t="shared" si="9"/>
        <v>10.25</v>
      </c>
    </row>
    <row r="142" spans="1:13" x14ac:dyDescent="0.25">
      <c r="A142" s="101" t="s">
        <v>205</v>
      </c>
      <c r="B142" s="102"/>
      <c r="C142" s="103"/>
      <c r="D142" s="32" t="s">
        <v>206</v>
      </c>
      <c r="E142" s="28">
        <v>156</v>
      </c>
      <c r="F142" s="28">
        <v>151</v>
      </c>
      <c r="G142" s="28">
        <v>156</v>
      </c>
      <c r="H142" s="28">
        <v>151</v>
      </c>
      <c r="I142" s="28">
        <v>118</v>
      </c>
      <c r="J142" s="28">
        <v>118</v>
      </c>
      <c r="K142" s="150">
        <f t="shared" si="7"/>
        <v>1.2796610169491525</v>
      </c>
      <c r="L142" s="171">
        <f t="shared" si="8"/>
        <v>3.9072847682119232</v>
      </c>
      <c r="M142" s="174">
        <f t="shared" si="9"/>
        <v>5</v>
      </c>
    </row>
    <row r="143" spans="1:13" x14ac:dyDescent="0.25">
      <c r="A143" s="83" t="s">
        <v>207</v>
      </c>
      <c r="B143" s="84"/>
      <c r="C143" s="85"/>
      <c r="D143" s="32" t="s">
        <v>208</v>
      </c>
      <c r="E143" s="28">
        <v>544</v>
      </c>
      <c r="F143" s="28">
        <v>538.5</v>
      </c>
      <c r="G143" s="28">
        <v>544</v>
      </c>
      <c r="H143" s="28">
        <v>538.5</v>
      </c>
      <c r="I143" s="28">
        <v>428</v>
      </c>
      <c r="J143" s="28">
        <v>444</v>
      </c>
      <c r="K143" s="150">
        <f t="shared" si="7"/>
        <v>1.2581775700934579</v>
      </c>
      <c r="L143" s="171">
        <f t="shared" si="8"/>
        <v>4.3714020427112814</v>
      </c>
      <c r="M143" s="174">
        <f t="shared" si="9"/>
        <v>5.5</v>
      </c>
    </row>
    <row r="144" spans="1:13" x14ac:dyDescent="0.25">
      <c r="A144" s="101" t="s">
        <v>209</v>
      </c>
      <c r="B144" s="102"/>
      <c r="C144" s="103"/>
      <c r="D144" s="32">
        <v>87</v>
      </c>
      <c r="E144" s="28">
        <v>2308.5</v>
      </c>
      <c r="F144" s="28">
        <v>2272.75</v>
      </c>
      <c r="G144" s="28">
        <v>2290.5</v>
      </c>
      <c r="H144" s="28">
        <v>2254.75</v>
      </c>
      <c r="I144" s="28">
        <v>1659</v>
      </c>
      <c r="J144" s="28">
        <v>1646</v>
      </c>
      <c r="K144" s="150">
        <f t="shared" si="7"/>
        <v>1.3699517781796262</v>
      </c>
      <c r="L144" s="171">
        <f t="shared" si="8"/>
        <v>26.095809041909661</v>
      </c>
      <c r="M144" s="174">
        <f t="shared" si="9"/>
        <v>35.75</v>
      </c>
    </row>
    <row r="145" spans="1:13" x14ac:dyDescent="0.25">
      <c r="A145" s="101" t="s">
        <v>210</v>
      </c>
      <c r="B145" s="102"/>
      <c r="C145" s="103"/>
      <c r="D145" s="32">
        <v>88</v>
      </c>
      <c r="E145" s="28">
        <v>64.5</v>
      </c>
      <c r="F145" s="28">
        <v>61.75</v>
      </c>
      <c r="G145" s="28">
        <v>63.5</v>
      </c>
      <c r="H145" s="28">
        <v>61.75</v>
      </c>
      <c r="I145" s="28">
        <v>49</v>
      </c>
      <c r="J145" s="28">
        <v>49</v>
      </c>
      <c r="K145" s="150">
        <f t="shared" si="7"/>
        <v>1.260204081632653</v>
      </c>
      <c r="L145" s="171">
        <f t="shared" si="8"/>
        <v>2.18218623481782</v>
      </c>
      <c r="M145" s="174">
        <f t="shared" si="9"/>
        <v>2.75</v>
      </c>
    </row>
    <row r="146" spans="1:13" x14ac:dyDescent="0.25">
      <c r="A146" s="124" t="s">
        <v>211</v>
      </c>
      <c r="B146" s="125"/>
      <c r="C146" s="126"/>
      <c r="D146" s="32">
        <v>89</v>
      </c>
      <c r="E146" s="28">
        <v>139.5</v>
      </c>
      <c r="F146" s="28">
        <v>132.25</v>
      </c>
      <c r="G146" s="28">
        <v>75.75</v>
      </c>
      <c r="H146" s="28">
        <v>74.5</v>
      </c>
      <c r="I146" s="28">
        <v>104</v>
      </c>
      <c r="J146" s="28">
        <v>51</v>
      </c>
      <c r="K146" s="150">
        <f t="shared" si="7"/>
        <v>1.2716346153846154</v>
      </c>
      <c r="L146" s="171">
        <f t="shared" si="8"/>
        <v>5.7013232514177616</v>
      </c>
      <c r="M146" s="174">
        <f t="shared" si="9"/>
        <v>7.25</v>
      </c>
    </row>
    <row r="147" spans="1:13" x14ac:dyDescent="0.25">
      <c r="A147" s="127" t="s">
        <v>212</v>
      </c>
      <c r="B147" s="128"/>
      <c r="C147" s="129"/>
      <c r="D147" s="28">
        <v>90</v>
      </c>
      <c r="E147" s="31">
        <v>693.25</v>
      </c>
      <c r="F147" s="31">
        <v>666.5</v>
      </c>
      <c r="G147" s="31">
        <v>311.25</v>
      </c>
      <c r="H147" s="31">
        <v>305.5</v>
      </c>
      <c r="I147" s="31">
        <v>553</v>
      </c>
      <c r="J147" s="31">
        <v>249</v>
      </c>
      <c r="K147" s="150">
        <f t="shared" si="7"/>
        <v>1.2052441229656419</v>
      </c>
      <c r="L147" s="171">
        <f t="shared" si="8"/>
        <v>22.194673668417181</v>
      </c>
      <c r="M147" s="174">
        <f t="shared" si="9"/>
        <v>26.75</v>
      </c>
    </row>
    <row r="148" spans="1:13" x14ac:dyDescent="0.25">
      <c r="A148" s="101" t="s">
        <v>213</v>
      </c>
      <c r="B148" s="102"/>
      <c r="C148" s="103"/>
      <c r="D148" s="31">
        <v>91</v>
      </c>
      <c r="E148" s="28">
        <v>34.25</v>
      </c>
      <c r="F148" s="28">
        <v>34.25</v>
      </c>
      <c r="G148" s="28">
        <v>34.25</v>
      </c>
      <c r="H148" s="28">
        <v>34.25</v>
      </c>
      <c r="I148" s="28">
        <v>24</v>
      </c>
      <c r="J148" s="28">
        <v>24</v>
      </c>
      <c r="K148" s="150">
        <f t="shared" si="7"/>
        <v>1.4270833333333333</v>
      </c>
      <c r="L148" s="171">
        <f t="shared" si="8"/>
        <v>0</v>
      </c>
      <c r="M148" s="174">
        <f t="shared" si="9"/>
        <v>0</v>
      </c>
    </row>
    <row r="149" spans="1:13" x14ac:dyDescent="0.25">
      <c r="A149" s="101" t="s">
        <v>214</v>
      </c>
      <c r="B149" s="102"/>
      <c r="C149" s="103"/>
      <c r="D149" s="32">
        <v>92</v>
      </c>
      <c r="E149" s="28">
        <v>194</v>
      </c>
      <c r="F149" s="28">
        <v>190.5</v>
      </c>
      <c r="G149" s="28">
        <v>151.25</v>
      </c>
      <c r="H149" s="28">
        <v>148.5</v>
      </c>
      <c r="I149" s="28">
        <v>158</v>
      </c>
      <c r="J149" s="28">
        <v>122</v>
      </c>
      <c r="K149" s="150">
        <f t="shared" si="7"/>
        <v>1.2056962025316456</v>
      </c>
      <c r="L149" s="171">
        <f t="shared" si="8"/>
        <v>2.9028871391076052</v>
      </c>
      <c r="M149" s="174">
        <f t="shared" si="9"/>
        <v>3.5</v>
      </c>
    </row>
    <row r="150" spans="1:13" x14ac:dyDescent="0.25">
      <c r="A150" s="101" t="s">
        <v>215</v>
      </c>
      <c r="B150" s="102"/>
      <c r="C150" s="103"/>
      <c r="D150" s="32">
        <v>93</v>
      </c>
      <c r="E150" s="28">
        <v>19</v>
      </c>
      <c r="F150" s="28">
        <v>17.5</v>
      </c>
      <c r="G150" s="28">
        <v>19</v>
      </c>
      <c r="H150" s="28">
        <v>17.5</v>
      </c>
      <c r="I150" s="28">
        <v>15</v>
      </c>
      <c r="J150" s="28">
        <v>15</v>
      </c>
      <c r="K150" s="150">
        <f t="shared" si="7"/>
        <v>1.1666666666666667</v>
      </c>
      <c r="L150" s="171">
        <f t="shared" si="8"/>
        <v>1.2857142857142847</v>
      </c>
      <c r="M150" s="174">
        <f t="shared" si="9"/>
        <v>1.5</v>
      </c>
    </row>
    <row r="151" spans="1:13" x14ac:dyDescent="0.25">
      <c r="A151" s="101" t="s">
        <v>216</v>
      </c>
      <c r="B151" s="102"/>
      <c r="C151" s="103"/>
      <c r="D151" s="32">
        <v>94</v>
      </c>
      <c r="E151" s="28">
        <v>396</v>
      </c>
      <c r="F151" s="28">
        <v>381.25</v>
      </c>
      <c r="G151" s="28">
        <v>161</v>
      </c>
      <c r="H151" s="28">
        <v>157</v>
      </c>
      <c r="I151" s="28">
        <v>280</v>
      </c>
      <c r="J151" s="28">
        <v>123</v>
      </c>
      <c r="K151" s="150">
        <f t="shared" si="7"/>
        <v>1.3616071428571428</v>
      </c>
      <c r="L151" s="171">
        <f t="shared" si="8"/>
        <v>10.832786885245923</v>
      </c>
      <c r="M151" s="174">
        <f t="shared" si="9"/>
        <v>14.75</v>
      </c>
    </row>
    <row r="152" spans="1:13" x14ac:dyDescent="0.25">
      <c r="A152" s="101" t="s">
        <v>217</v>
      </c>
      <c r="B152" s="102"/>
      <c r="C152" s="103"/>
      <c r="D152" s="32">
        <v>95</v>
      </c>
      <c r="E152" s="28"/>
      <c r="F152" s="28"/>
      <c r="G152" s="28"/>
      <c r="H152" s="28"/>
      <c r="I152" s="28"/>
      <c r="J152" s="28"/>
      <c r="K152" s="150"/>
      <c r="L152" s="171"/>
      <c r="M152" s="174"/>
    </row>
    <row r="153" spans="1:13" x14ac:dyDescent="0.25">
      <c r="A153" s="101" t="s">
        <v>218</v>
      </c>
      <c r="B153" s="102"/>
      <c r="C153" s="103"/>
      <c r="D153" s="32">
        <v>96</v>
      </c>
      <c r="E153" s="28">
        <v>8</v>
      </c>
      <c r="F153" s="28">
        <v>7</v>
      </c>
      <c r="G153" s="28">
        <v>8</v>
      </c>
      <c r="H153" s="28">
        <v>7</v>
      </c>
      <c r="I153" s="28">
        <v>7</v>
      </c>
      <c r="J153" s="28">
        <v>7</v>
      </c>
      <c r="K153" s="150">
        <f t="shared" si="7"/>
        <v>1</v>
      </c>
      <c r="L153" s="171">
        <f t="shared" si="8"/>
        <v>1</v>
      </c>
      <c r="M153" s="174">
        <f t="shared" si="9"/>
        <v>1</v>
      </c>
    </row>
    <row r="154" spans="1:13" x14ac:dyDescent="0.25">
      <c r="A154" s="101" t="s">
        <v>219</v>
      </c>
      <c r="B154" s="102"/>
      <c r="C154" s="103"/>
      <c r="D154" s="32">
        <v>97</v>
      </c>
      <c r="E154" s="28">
        <v>586.75</v>
      </c>
      <c r="F154" s="28">
        <v>552.75</v>
      </c>
      <c r="G154" s="28">
        <v>191</v>
      </c>
      <c r="H154" s="28">
        <v>188</v>
      </c>
      <c r="I154" s="28">
        <v>433</v>
      </c>
      <c r="J154" s="28">
        <v>144</v>
      </c>
      <c r="K154" s="150">
        <f t="shared" si="7"/>
        <v>1.2765588914549653</v>
      </c>
      <c r="L154" s="171">
        <f t="shared" si="8"/>
        <v>26.63410221619182</v>
      </c>
      <c r="M154" s="174">
        <f t="shared" si="9"/>
        <v>34</v>
      </c>
    </row>
    <row r="155" spans="1:13" x14ac:dyDescent="0.25">
      <c r="A155" s="130" t="s">
        <v>220</v>
      </c>
      <c r="B155" s="130"/>
      <c r="C155" s="130"/>
      <c r="D155" s="28">
        <v>98</v>
      </c>
      <c r="E155" s="28">
        <v>56.25</v>
      </c>
      <c r="F155" s="28">
        <v>54.25</v>
      </c>
      <c r="G155" s="28">
        <v>0.5</v>
      </c>
      <c r="H155" s="28">
        <v>0.5</v>
      </c>
      <c r="I155" s="28">
        <v>35</v>
      </c>
      <c r="J155" s="28">
        <v>1</v>
      </c>
      <c r="K155" s="150">
        <f t="shared" si="7"/>
        <v>1.55</v>
      </c>
      <c r="L155" s="171">
        <f t="shared" si="8"/>
        <v>1.2903225806451601</v>
      </c>
      <c r="M155" s="174">
        <f t="shared" si="9"/>
        <v>2</v>
      </c>
    </row>
    <row r="156" spans="1:13" x14ac:dyDescent="0.25">
      <c r="A156" s="130" t="s">
        <v>221</v>
      </c>
      <c r="B156" s="130"/>
      <c r="C156" s="130"/>
      <c r="D156" s="28">
        <v>99</v>
      </c>
      <c r="E156" s="28">
        <v>126.5</v>
      </c>
      <c r="F156" s="28">
        <v>117</v>
      </c>
      <c r="G156" s="28">
        <v>80</v>
      </c>
      <c r="H156" s="28">
        <v>75.5</v>
      </c>
      <c r="I156" s="28">
        <v>98</v>
      </c>
      <c r="J156" s="28">
        <v>64</v>
      </c>
      <c r="K156" s="150">
        <f t="shared" si="7"/>
        <v>1.1938775510204083</v>
      </c>
      <c r="L156" s="171">
        <f t="shared" si="8"/>
        <v>7.9572649572649539</v>
      </c>
      <c r="M156" s="174">
        <f t="shared" si="9"/>
        <v>9.5</v>
      </c>
    </row>
    <row r="157" spans="1:13" x14ac:dyDescent="0.25">
      <c r="A157" s="130" t="s">
        <v>222</v>
      </c>
      <c r="B157" s="130"/>
      <c r="C157" s="130"/>
      <c r="D157" s="28">
        <v>100</v>
      </c>
      <c r="E157" s="28">
        <v>88</v>
      </c>
      <c r="F157" s="28">
        <v>76.25</v>
      </c>
      <c r="G157" s="28">
        <v>27.5</v>
      </c>
      <c r="H157" s="28">
        <v>23.5</v>
      </c>
      <c r="I157" s="28">
        <v>65</v>
      </c>
      <c r="J157" s="28">
        <v>23</v>
      </c>
      <c r="K157" s="150">
        <f t="shared" si="7"/>
        <v>1.1730769230769231</v>
      </c>
      <c r="L157" s="171">
        <f t="shared" si="8"/>
        <v>10.016393442622942</v>
      </c>
      <c r="M157" s="174">
        <f t="shared" si="9"/>
        <v>11.75</v>
      </c>
    </row>
    <row r="158" spans="1:13" x14ac:dyDescent="0.25">
      <c r="A158" s="130" t="s">
        <v>223</v>
      </c>
      <c r="B158" s="130"/>
      <c r="C158" s="130"/>
      <c r="D158" s="28">
        <v>101</v>
      </c>
      <c r="E158" s="28">
        <v>75.25</v>
      </c>
      <c r="F158" s="28">
        <v>69</v>
      </c>
      <c r="G158" s="28">
        <v>28</v>
      </c>
      <c r="H158" s="28">
        <v>27</v>
      </c>
      <c r="I158" s="28">
        <v>65</v>
      </c>
      <c r="J158" s="28">
        <v>27</v>
      </c>
      <c r="K158" s="150">
        <f t="shared" si="7"/>
        <v>1.0615384615384615</v>
      </c>
      <c r="L158" s="171">
        <f t="shared" si="8"/>
        <v>5.8876811594202962</v>
      </c>
      <c r="M158" s="174">
        <f t="shared" si="9"/>
        <v>6.25</v>
      </c>
    </row>
    <row r="159" spans="1:13" x14ac:dyDescent="0.25">
      <c r="A159" s="130" t="s">
        <v>224</v>
      </c>
      <c r="B159" s="130"/>
      <c r="C159" s="130"/>
      <c r="D159" s="28">
        <v>102</v>
      </c>
      <c r="E159" s="28">
        <v>6542.25</v>
      </c>
      <c r="F159" s="28">
        <v>6042.5</v>
      </c>
      <c r="G159" s="28">
        <v>956</v>
      </c>
      <c r="H159" s="28">
        <v>921.5</v>
      </c>
      <c r="I159" s="28">
        <v>4380</v>
      </c>
      <c r="J159" s="28">
        <v>708</v>
      </c>
      <c r="K159" s="150">
        <f t="shared" si="7"/>
        <v>1.379566210045662</v>
      </c>
      <c r="L159" s="171">
        <f t="shared" si="8"/>
        <v>362.25155151013678</v>
      </c>
      <c r="M159" s="174">
        <f t="shared" si="9"/>
        <v>499.75</v>
      </c>
    </row>
    <row r="160" spans="1:13" x14ac:dyDescent="0.25">
      <c r="A160" s="130" t="s">
        <v>225</v>
      </c>
      <c r="B160" s="130"/>
      <c r="C160" s="130"/>
      <c r="D160" s="28">
        <v>103</v>
      </c>
      <c r="E160" s="28">
        <v>5843.5</v>
      </c>
      <c r="F160" s="28">
        <v>5306.25</v>
      </c>
      <c r="G160" s="28">
        <v>2040</v>
      </c>
      <c r="H160" s="28">
        <v>1947</v>
      </c>
      <c r="I160" s="28">
        <v>4127</v>
      </c>
      <c r="J160" s="28">
        <v>1506</v>
      </c>
      <c r="K160" s="150">
        <f t="shared" si="7"/>
        <v>1.2857402471528956</v>
      </c>
      <c r="L160" s="171">
        <f t="shared" si="8"/>
        <v>417.85267373380429</v>
      </c>
      <c r="M160" s="174">
        <f t="shared" si="9"/>
        <v>537.25</v>
      </c>
    </row>
    <row r="161" spans="1:13" x14ac:dyDescent="0.25">
      <c r="A161" s="101" t="s">
        <v>198</v>
      </c>
      <c r="B161" s="102"/>
      <c r="C161" s="103"/>
      <c r="D161" s="28" t="s">
        <v>226</v>
      </c>
      <c r="E161" s="28">
        <v>61.5</v>
      </c>
      <c r="F161" s="28">
        <v>54.5</v>
      </c>
      <c r="G161" s="28">
        <v>57.5</v>
      </c>
      <c r="H161" s="28">
        <v>52.5</v>
      </c>
      <c r="I161" s="28">
        <v>49</v>
      </c>
      <c r="J161" s="28">
        <v>47</v>
      </c>
      <c r="K161" s="150">
        <f t="shared" si="7"/>
        <v>1.1122448979591837</v>
      </c>
      <c r="L161" s="171">
        <f t="shared" si="8"/>
        <v>6.2935779816513744</v>
      </c>
      <c r="M161" s="174">
        <f t="shared" si="9"/>
        <v>7</v>
      </c>
    </row>
    <row r="162" spans="1:13" x14ac:dyDescent="0.25">
      <c r="A162" s="130" t="s">
        <v>227</v>
      </c>
      <c r="B162" s="130"/>
      <c r="C162" s="130"/>
      <c r="D162" s="28">
        <v>104</v>
      </c>
      <c r="E162" s="28">
        <v>36471.75</v>
      </c>
      <c r="F162" s="28">
        <v>34331.25</v>
      </c>
      <c r="G162" s="28">
        <v>14701.25</v>
      </c>
      <c r="H162" s="28">
        <v>14274.25</v>
      </c>
      <c r="I162" s="28">
        <v>26251</v>
      </c>
      <c r="J162" s="28">
        <v>10823</v>
      </c>
      <c r="K162" s="150">
        <f t="shared" si="7"/>
        <v>1.3078073216258428</v>
      </c>
      <c r="L162" s="171">
        <f t="shared" si="8"/>
        <v>1636.7089896231591</v>
      </c>
      <c r="M162" s="174">
        <f t="shared" si="9"/>
        <v>2140.5</v>
      </c>
    </row>
  </sheetData>
  <mergeCells count="196">
    <mergeCell ref="B1:I1"/>
    <mergeCell ref="L7:L8"/>
    <mergeCell ref="L36:L37"/>
    <mergeCell ref="L130:L131"/>
    <mergeCell ref="M7:M8"/>
    <mergeCell ref="M36:M37"/>
    <mergeCell ref="M130:M131"/>
    <mergeCell ref="A157:C157"/>
    <mergeCell ref="A158:C158"/>
    <mergeCell ref="A145:C145"/>
    <mergeCell ref="A146:C146"/>
    <mergeCell ref="A147:C147"/>
    <mergeCell ref="A148:C148"/>
    <mergeCell ref="A149:C149"/>
    <mergeCell ref="A150:C150"/>
    <mergeCell ref="A139:C139"/>
    <mergeCell ref="A140:C140"/>
    <mergeCell ref="A141:C141"/>
    <mergeCell ref="A142:C142"/>
    <mergeCell ref="A143:C143"/>
    <mergeCell ref="A144:C144"/>
    <mergeCell ref="A133:C133"/>
    <mergeCell ref="A134:C134"/>
    <mergeCell ref="A135:C135"/>
    <mergeCell ref="A159:C159"/>
    <mergeCell ref="A160:C160"/>
    <mergeCell ref="A161:C161"/>
    <mergeCell ref="A162:C162"/>
    <mergeCell ref="A151:C151"/>
    <mergeCell ref="A152:C152"/>
    <mergeCell ref="A153:C153"/>
    <mergeCell ref="A154:C154"/>
    <mergeCell ref="A155:C155"/>
    <mergeCell ref="A156:C156"/>
    <mergeCell ref="A136:C136"/>
    <mergeCell ref="A137:C137"/>
    <mergeCell ref="A138:C138"/>
    <mergeCell ref="G130:G131"/>
    <mergeCell ref="H130:H131"/>
    <mergeCell ref="I130:I131"/>
    <mergeCell ref="J130:J131"/>
    <mergeCell ref="K130:K131"/>
    <mergeCell ref="A132:C132"/>
    <mergeCell ref="A128:C128"/>
    <mergeCell ref="A129:C129"/>
    <mergeCell ref="A130:C131"/>
    <mergeCell ref="D130:D131"/>
    <mergeCell ref="E130:E131"/>
    <mergeCell ref="F130:F131"/>
    <mergeCell ref="A122:C122"/>
    <mergeCell ref="A123:C123"/>
    <mergeCell ref="A124:C124"/>
    <mergeCell ref="A125:C125"/>
    <mergeCell ref="A126:C126"/>
    <mergeCell ref="A127:C127"/>
    <mergeCell ref="A116:C116"/>
    <mergeCell ref="A117:C117"/>
    <mergeCell ref="A118:C118"/>
    <mergeCell ref="A119:C119"/>
    <mergeCell ref="A120:C120"/>
    <mergeCell ref="A121:C121"/>
    <mergeCell ref="A110:C110"/>
    <mergeCell ref="A111:C111"/>
    <mergeCell ref="A112:C112"/>
    <mergeCell ref="A113:C113"/>
    <mergeCell ref="A114:C114"/>
    <mergeCell ref="A115:C115"/>
    <mergeCell ref="A104:C104"/>
    <mergeCell ref="A105:C105"/>
    <mergeCell ref="A106:C106"/>
    <mergeCell ref="A107:C107"/>
    <mergeCell ref="A108:C108"/>
    <mergeCell ref="A109:C109"/>
    <mergeCell ref="A98:C98"/>
    <mergeCell ref="A99:C99"/>
    <mergeCell ref="A100:C100"/>
    <mergeCell ref="A101:C101"/>
    <mergeCell ref="A102:C102"/>
    <mergeCell ref="A103:C103"/>
    <mergeCell ref="A92:C92"/>
    <mergeCell ref="A93:C93"/>
    <mergeCell ref="A94:C94"/>
    <mergeCell ref="A95:C95"/>
    <mergeCell ref="A96:C96"/>
    <mergeCell ref="A97:C97"/>
    <mergeCell ref="A86:C86"/>
    <mergeCell ref="A87:C87"/>
    <mergeCell ref="A88:C88"/>
    <mergeCell ref="A89:C89"/>
    <mergeCell ref="A90:C90"/>
    <mergeCell ref="A91:C91"/>
    <mergeCell ref="A80:C80"/>
    <mergeCell ref="A81:C81"/>
    <mergeCell ref="A82:C82"/>
    <mergeCell ref="A83:C83"/>
    <mergeCell ref="A84:C84"/>
    <mergeCell ref="A85:C85"/>
    <mergeCell ref="A74:C74"/>
    <mergeCell ref="A75:C75"/>
    <mergeCell ref="A76:C76"/>
    <mergeCell ref="A77:C77"/>
    <mergeCell ref="A78:C78"/>
    <mergeCell ref="A79:C79"/>
    <mergeCell ref="A68:C68"/>
    <mergeCell ref="A69:C69"/>
    <mergeCell ref="A70:C70"/>
    <mergeCell ref="A71:C71"/>
    <mergeCell ref="A72:C72"/>
    <mergeCell ref="A73:C73"/>
    <mergeCell ref="A62:C62"/>
    <mergeCell ref="A63:C63"/>
    <mergeCell ref="A64:C64"/>
    <mergeCell ref="A65:C65"/>
    <mergeCell ref="A66:C66"/>
    <mergeCell ref="A67:C67"/>
    <mergeCell ref="A56:C56"/>
    <mergeCell ref="A57:C57"/>
    <mergeCell ref="A58:C58"/>
    <mergeCell ref="A59:C59"/>
    <mergeCell ref="A60:C60"/>
    <mergeCell ref="A61:C61"/>
    <mergeCell ref="A50:C50"/>
    <mergeCell ref="A51:C51"/>
    <mergeCell ref="A52:C52"/>
    <mergeCell ref="A53:C53"/>
    <mergeCell ref="A54:C54"/>
    <mergeCell ref="A55:C55"/>
    <mergeCell ref="A44:C44"/>
    <mergeCell ref="A45:C45"/>
    <mergeCell ref="A46:C46"/>
    <mergeCell ref="A47:C47"/>
    <mergeCell ref="A48:C48"/>
    <mergeCell ref="A49:C49"/>
    <mergeCell ref="A38:C38"/>
    <mergeCell ref="A39:C39"/>
    <mergeCell ref="A40:C40"/>
    <mergeCell ref="A41:C41"/>
    <mergeCell ref="A42:C42"/>
    <mergeCell ref="A43:C43"/>
    <mergeCell ref="G36:G37"/>
    <mergeCell ref="H36:H37"/>
    <mergeCell ref="I36:I37"/>
    <mergeCell ref="J36:J37"/>
    <mergeCell ref="K36:K37"/>
    <mergeCell ref="A37:C37"/>
    <mergeCell ref="A34:C34"/>
    <mergeCell ref="A35:C35"/>
    <mergeCell ref="A36:C36"/>
    <mergeCell ref="D36:D37"/>
    <mergeCell ref="E36:E37"/>
    <mergeCell ref="F36:F37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G7:G8"/>
    <mergeCell ref="H7:H8"/>
    <mergeCell ref="I7:I8"/>
    <mergeCell ref="J7:J8"/>
    <mergeCell ref="K7:K8"/>
    <mergeCell ref="A9:C9"/>
    <mergeCell ref="A5:C5"/>
    <mergeCell ref="A6:C6"/>
    <mergeCell ref="A7:C8"/>
    <mergeCell ref="D7:D8"/>
    <mergeCell ref="E7:E8"/>
    <mergeCell ref="F7:F8"/>
    <mergeCell ref="A2:C3"/>
    <mergeCell ref="D2:D3"/>
    <mergeCell ref="E2:F2"/>
    <mergeCell ref="G2:H2"/>
    <mergeCell ref="I2:J2"/>
    <mergeCell ref="A4:C4"/>
    <mergeCell ref="K2:K3"/>
    <mergeCell ref="L2:L3"/>
    <mergeCell ref="M2:M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M162"/>
  <sheetViews>
    <sheetView tabSelected="1" workbookViewId="0">
      <selection activeCell="S10" sqref="S10"/>
    </sheetView>
  </sheetViews>
  <sheetFormatPr defaultRowHeight="15" x14ac:dyDescent="0.25"/>
  <cols>
    <col min="11" max="11" width="15.85546875" customWidth="1"/>
    <col min="12" max="12" width="12.5703125" customWidth="1"/>
    <col min="13" max="13" width="14.42578125" style="20" customWidth="1"/>
  </cols>
  <sheetData>
    <row r="1" spans="1:13" x14ac:dyDescent="0.25">
      <c r="A1" s="23">
        <v>1100</v>
      </c>
      <c r="B1" s="144" t="s">
        <v>228</v>
      </c>
      <c r="C1" s="144"/>
      <c r="D1" s="144"/>
      <c r="E1" s="144"/>
      <c r="F1" s="144"/>
      <c r="G1" s="144"/>
      <c r="H1" s="144"/>
      <c r="I1" s="144"/>
      <c r="J1" s="24"/>
    </row>
    <row r="2" spans="1:13" ht="73.5" customHeight="1" x14ac:dyDescent="0.25">
      <c r="A2" s="145" t="s">
        <v>0</v>
      </c>
      <c r="B2" s="145"/>
      <c r="C2" s="145"/>
      <c r="D2" s="146" t="s">
        <v>1</v>
      </c>
      <c r="E2" s="75" t="s">
        <v>2</v>
      </c>
      <c r="F2" s="75"/>
      <c r="G2" s="75" t="s">
        <v>3</v>
      </c>
      <c r="H2" s="75"/>
      <c r="I2" s="75" t="s">
        <v>4</v>
      </c>
      <c r="J2" s="75"/>
      <c r="K2" s="147" t="s">
        <v>229</v>
      </c>
      <c r="L2" s="154" t="s">
        <v>230</v>
      </c>
      <c r="M2" s="161" t="s">
        <v>231</v>
      </c>
    </row>
    <row r="3" spans="1:13" ht="89.25" x14ac:dyDescent="0.25">
      <c r="A3" s="145"/>
      <c r="B3" s="145"/>
      <c r="C3" s="145"/>
      <c r="D3" s="146"/>
      <c r="E3" s="22" t="s">
        <v>5</v>
      </c>
      <c r="F3" s="1" t="s">
        <v>6</v>
      </c>
      <c r="G3" s="22" t="s">
        <v>5</v>
      </c>
      <c r="H3" s="1" t="s">
        <v>7</v>
      </c>
      <c r="I3" s="2" t="s">
        <v>8</v>
      </c>
      <c r="J3" s="2" t="s">
        <v>9</v>
      </c>
      <c r="K3" s="148"/>
      <c r="L3" s="155"/>
      <c r="M3" s="162"/>
    </row>
    <row r="4" spans="1:13" x14ac:dyDescent="0.25">
      <c r="A4" s="98" t="s">
        <v>10</v>
      </c>
      <c r="B4" s="98"/>
      <c r="C4" s="98"/>
      <c r="D4" s="6" t="s">
        <v>11</v>
      </c>
      <c r="E4" s="6">
        <v>1</v>
      </c>
      <c r="F4" s="6">
        <v>2</v>
      </c>
      <c r="G4" s="6">
        <v>3</v>
      </c>
      <c r="H4" s="6">
        <v>4</v>
      </c>
      <c r="I4" s="6">
        <v>5</v>
      </c>
      <c r="J4" s="6">
        <v>6</v>
      </c>
      <c r="K4" s="149">
        <v>7</v>
      </c>
      <c r="L4" s="156">
        <v>8</v>
      </c>
      <c r="M4" s="163">
        <v>9</v>
      </c>
    </row>
    <row r="5" spans="1:13" x14ac:dyDescent="0.25">
      <c r="A5" s="140" t="s">
        <v>12</v>
      </c>
      <c r="B5" s="140"/>
      <c r="C5" s="140"/>
      <c r="D5" s="60" t="s">
        <v>13</v>
      </c>
      <c r="E5" s="60">
        <v>2979.75</v>
      </c>
      <c r="F5" s="59">
        <v>2751.75</v>
      </c>
      <c r="G5" s="59">
        <v>1519</v>
      </c>
      <c r="H5" s="59">
        <v>1427.25</v>
      </c>
      <c r="I5" s="59">
        <v>2278</v>
      </c>
      <c r="J5" s="59">
        <v>1307</v>
      </c>
      <c r="K5" s="176">
        <f>F5/I5</f>
        <v>1.2079675153643548</v>
      </c>
      <c r="L5" s="180">
        <f>E5-F5</f>
        <v>228</v>
      </c>
      <c r="M5" s="184">
        <f>E5/K5-I5</f>
        <v>188.74679749250481</v>
      </c>
    </row>
    <row r="6" spans="1:13" x14ac:dyDescent="0.25">
      <c r="A6" s="104" t="s">
        <v>14</v>
      </c>
      <c r="B6" s="104"/>
      <c r="C6" s="104"/>
      <c r="D6" s="5" t="s">
        <v>15</v>
      </c>
      <c r="E6" s="5">
        <v>28.5</v>
      </c>
      <c r="F6" s="6">
        <v>28.5</v>
      </c>
      <c r="G6" s="6">
        <v>13.5</v>
      </c>
      <c r="H6" s="6">
        <v>13.5</v>
      </c>
      <c r="I6" s="6">
        <v>28</v>
      </c>
      <c r="J6" s="6">
        <v>14</v>
      </c>
      <c r="K6" s="177">
        <f t="shared" ref="K6:K69" si="0">F6/I6</f>
        <v>1.0178571428571428</v>
      </c>
      <c r="L6" s="181"/>
      <c r="M6" s="185"/>
    </row>
    <row r="7" spans="1:13" x14ac:dyDescent="0.25">
      <c r="A7" s="142" t="s">
        <v>16</v>
      </c>
      <c r="B7" s="143"/>
      <c r="C7" s="143"/>
      <c r="D7" s="136" t="s">
        <v>17</v>
      </c>
      <c r="E7" s="136">
        <v>64.5</v>
      </c>
      <c r="F7" s="98">
        <v>61.5</v>
      </c>
      <c r="G7" s="98">
        <v>35.5</v>
      </c>
      <c r="H7" s="98">
        <v>32.5</v>
      </c>
      <c r="I7" s="98">
        <v>59</v>
      </c>
      <c r="J7" s="98">
        <v>33</v>
      </c>
      <c r="K7" s="178">
        <f t="shared" si="0"/>
        <v>1.0423728813559323</v>
      </c>
      <c r="L7" s="182">
        <f t="shared" ref="L7:L69" si="1">E7-F7</f>
        <v>3</v>
      </c>
      <c r="M7" s="186">
        <f t="shared" ref="M7:M69" si="2">E7/K7-I7</f>
        <v>2.878048780487795</v>
      </c>
    </row>
    <row r="8" spans="1:13" x14ac:dyDescent="0.25">
      <c r="A8" s="143"/>
      <c r="B8" s="143"/>
      <c r="C8" s="143"/>
      <c r="D8" s="136"/>
      <c r="E8" s="136"/>
      <c r="F8" s="98"/>
      <c r="G8" s="98"/>
      <c r="H8" s="98"/>
      <c r="I8" s="98"/>
      <c r="J8" s="98"/>
      <c r="K8" s="179"/>
      <c r="L8" s="183"/>
      <c r="M8" s="187"/>
    </row>
    <row r="9" spans="1:13" x14ac:dyDescent="0.25">
      <c r="A9" s="130" t="s">
        <v>18</v>
      </c>
      <c r="B9" s="130"/>
      <c r="C9" s="130"/>
      <c r="D9" s="5" t="s">
        <v>19</v>
      </c>
      <c r="E9" s="5">
        <v>1</v>
      </c>
      <c r="F9" s="6">
        <v>1</v>
      </c>
      <c r="G9" s="6"/>
      <c r="H9" s="6"/>
      <c r="I9" s="6"/>
      <c r="J9" s="6"/>
      <c r="K9" s="177"/>
      <c r="L9" s="181"/>
      <c r="M9" s="185"/>
    </row>
    <row r="10" spans="1:13" x14ac:dyDescent="0.25">
      <c r="A10" s="104" t="s">
        <v>20</v>
      </c>
      <c r="B10" s="104"/>
      <c r="C10" s="104"/>
      <c r="D10" s="5" t="s">
        <v>21</v>
      </c>
      <c r="E10" s="5">
        <v>163.25</v>
      </c>
      <c r="F10" s="6">
        <v>148.25</v>
      </c>
      <c r="G10" s="6">
        <v>114.25</v>
      </c>
      <c r="H10" s="6">
        <v>102.25</v>
      </c>
      <c r="I10" s="6">
        <v>124</v>
      </c>
      <c r="J10" s="6">
        <v>95</v>
      </c>
      <c r="K10" s="177">
        <f t="shared" si="0"/>
        <v>1.1955645161290323</v>
      </c>
      <c r="L10" s="181">
        <f t="shared" si="1"/>
        <v>15</v>
      </c>
      <c r="M10" s="185">
        <f t="shared" si="2"/>
        <v>12.546374367622263</v>
      </c>
    </row>
    <row r="11" spans="1:13" x14ac:dyDescent="0.25">
      <c r="A11" s="130" t="s">
        <v>22</v>
      </c>
      <c r="B11" s="130"/>
      <c r="C11" s="130"/>
      <c r="D11" s="5" t="s">
        <v>23</v>
      </c>
      <c r="E11" s="5">
        <v>11</v>
      </c>
      <c r="F11" s="6">
        <v>11</v>
      </c>
      <c r="G11" s="6">
        <v>11</v>
      </c>
      <c r="H11" s="6">
        <v>11</v>
      </c>
      <c r="I11" s="6">
        <v>10</v>
      </c>
      <c r="J11" s="6">
        <v>10</v>
      </c>
      <c r="K11" s="177"/>
      <c r="L11" s="181"/>
      <c r="M11" s="185"/>
    </row>
    <row r="12" spans="1:13" x14ac:dyDescent="0.25">
      <c r="A12" s="130" t="s">
        <v>24</v>
      </c>
      <c r="B12" s="130"/>
      <c r="C12" s="130"/>
      <c r="D12" s="5" t="s">
        <v>25</v>
      </c>
      <c r="E12" s="5"/>
      <c r="F12" s="6"/>
      <c r="G12" s="6"/>
      <c r="H12" s="6"/>
      <c r="I12" s="6"/>
      <c r="J12" s="6"/>
      <c r="K12" s="177"/>
      <c r="L12" s="181"/>
      <c r="M12" s="185"/>
    </row>
    <row r="13" spans="1:13" x14ac:dyDescent="0.25">
      <c r="A13" s="130" t="s">
        <v>26</v>
      </c>
      <c r="B13" s="130"/>
      <c r="C13" s="130"/>
      <c r="D13" s="5" t="s">
        <v>27</v>
      </c>
      <c r="E13" s="5">
        <v>1.5</v>
      </c>
      <c r="F13" s="6">
        <v>1.5</v>
      </c>
      <c r="G13" s="6">
        <v>1.5</v>
      </c>
      <c r="H13" s="6">
        <v>1.5</v>
      </c>
      <c r="I13" s="6">
        <v>2</v>
      </c>
      <c r="J13" s="6">
        <v>2</v>
      </c>
      <c r="K13" s="177">
        <f t="shared" si="0"/>
        <v>0.75</v>
      </c>
      <c r="L13" s="181"/>
      <c r="M13" s="185"/>
    </row>
    <row r="14" spans="1:13" x14ac:dyDescent="0.25">
      <c r="A14" s="104" t="s">
        <v>28</v>
      </c>
      <c r="B14" s="104"/>
      <c r="C14" s="104"/>
      <c r="D14" s="5" t="s">
        <v>29</v>
      </c>
      <c r="E14" s="5">
        <v>1.5</v>
      </c>
      <c r="F14" s="6">
        <v>1.5</v>
      </c>
      <c r="G14" s="6"/>
      <c r="H14" s="6"/>
      <c r="I14" s="6"/>
      <c r="J14" s="6"/>
      <c r="K14" s="177"/>
      <c r="L14" s="181"/>
      <c r="M14" s="185"/>
    </row>
    <row r="15" spans="1:13" x14ac:dyDescent="0.25">
      <c r="A15" s="130" t="s">
        <v>30</v>
      </c>
      <c r="B15" s="130"/>
      <c r="C15" s="130"/>
      <c r="D15" s="5" t="s">
        <v>31</v>
      </c>
      <c r="E15" s="5">
        <v>7</v>
      </c>
      <c r="F15" s="6">
        <v>5.5</v>
      </c>
      <c r="G15" s="6">
        <v>4.75</v>
      </c>
      <c r="H15" s="6">
        <v>4.25</v>
      </c>
      <c r="I15" s="6">
        <v>4</v>
      </c>
      <c r="J15" s="6">
        <v>3</v>
      </c>
      <c r="K15" s="177">
        <f t="shared" si="0"/>
        <v>1.375</v>
      </c>
      <c r="L15" s="181">
        <f t="shared" si="1"/>
        <v>1.5</v>
      </c>
      <c r="M15" s="185">
        <f t="shared" si="2"/>
        <v>1.0909090909090908</v>
      </c>
    </row>
    <row r="16" spans="1:13" x14ac:dyDescent="0.25">
      <c r="A16" s="130" t="s">
        <v>32</v>
      </c>
      <c r="B16" s="130"/>
      <c r="C16" s="130"/>
      <c r="D16" s="5" t="s">
        <v>33</v>
      </c>
      <c r="E16" s="6">
        <v>6</v>
      </c>
      <c r="F16" s="6">
        <v>5</v>
      </c>
      <c r="G16" s="6"/>
      <c r="H16" s="6"/>
      <c r="I16" s="6">
        <v>4</v>
      </c>
      <c r="J16" s="6"/>
      <c r="K16" s="177">
        <f t="shared" si="0"/>
        <v>1.25</v>
      </c>
      <c r="L16" s="181">
        <f t="shared" si="1"/>
        <v>1</v>
      </c>
      <c r="M16" s="185">
        <f t="shared" si="2"/>
        <v>0.79999999999999982</v>
      </c>
    </row>
    <row r="17" spans="1:13" x14ac:dyDescent="0.25">
      <c r="A17" s="130" t="s">
        <v>34</v>
      </c>
      <c r="B17" s="130"/>
      <c r="C17" s="130"/>
      <c r="D17" s="5" t="s">
        <v>35</v>
      </c>
      <c r="E17" s="5">
        <v>17</v>
      </c>
      <c r="F17" s="6">
        <v>15.75</v>
      </c>
      <c r="G17" s="6">
        <v>14.25</v>
      </c>
      <c r="H17" s="6">
        <v>13</v>
      </c>
      <c r="I17" s="6">
        <v>13</v>
      </c>
      <c r="J17" s="6">
        <v>11</v>
      </c>
      <c r="K17" s="177">
        <f t="shared" si="0"/>
        <v>1.2115384615384615</v>
      </c>
      <c r="L17" s="181">
        <f t="shared" si="1"/>
        <v>1.25</v>
      </c>
      <c r="M17" s="185">
        <f t="shared" si="2"/>
        <v>1.0317460317460334</v>
      </c>
    </row>
    <row r="18" spans="1:13" x14ac:dyDescent="0.25">
      <c r="A18" s="130" t="s">
        <v>36</v>
      </c>
      <c r="B18" s="130"/>
      <c r="C18" s="130"/>
      <c r="D18" s="5" t="s">
        <v>37</v>
      </c>
      <c r="E18" s="5">
        <v>3.75</v>
      </c>
      <c r="F18" s="6">
        <v>3.75</v>
      </c>
      <c r="G18" s="6">
        <v>1.75</v>
      </c>
      <c r="H18" s="6">
        <v>1.75</v>
      </c>
      <c r="I18" s="6">
        <v>5</v>
      </c>
      <c r="J18" s="6">
        <v>3</v>
      </c>
      <c r="K18" s="177">
        <f t="shared" si="0"/>
        <v>0.75</v>
      </c>
      <c r="L18" s="181"/>
      <c r="M18" s="185"/>
    </row>
    <row r="19" spans="1:13" x14ac:dyDescent="0.25">
      <c r="A19" s="130" t="s">
        <v>38</v>
      </c>
      <c r="B19" s="130"/>
      <c r="C19" s="130"/>
      <c r="D19" s="5" t="s">
        <v>39</v>
      </c>
      <c r="E19" s="5">
        <v>66.25</v>
      </c>
      <c r="F19" s="6">
        <v>61.5</v>
      </c>
      <c r="G19" s="6">
        <v>33.25</v>
      </c>
      <c r="H19" s="6">
        <v>29.5</v>
      </c>
      <c r="I19" s="6">
        <v>45</v>
      </c>
      <c r="J19" s="6">
        <v>28</v>
      </c>
      <c r="K19" s="177">
        <f t="shared" si="0"/>
        <v>1.3666666666666667</v>
      </c>
      <c r="L19" s="181">
        <f t="shared" si="1"/>
        <v>4.75</v>
      </c>
      <c r="M19" s="185">
        <f t="shared" si="2"/>
        <v>3.4756097560975618</v>
      </c>
    </row>
    <row r="20" spans="1:13" x14ac:dyDescent="0.25">
      <c r="A20" s="130" t="s">
        <v>40</v>
      </c>
      <c r="B20" s="130"/>
      <c r="C20" s="130"/>
      <c r="D20" s="5" t="s">
        <v>41</v>
      </c>
      <c r="E20" s="5">
        <v>3</v>
      </c>
      <c r="F20" s="6">
        <v>3</v>
      </c>
      <c r="G20" s="6"/>
      <c r="H20" s="6"/>
      <c r="I20" s="6">
        <v>4</v>
      </c>
      <c r="J20" s="6"/>
      <c r="K20" s="177">
        <f t="shared" si="0"/>
        <v>0.75</v>
      </c>
      <c r="L20" s="181"/>
      <c r="M20" s="185"/>
    </row>
    <row r="21" spans="1:13" x14ac:dyDescent="0.25">
      <c r="A21" s="130" t="s">
        <v>42</v>
      </c>
      <c r="B21" s="130"/>
      <c r="C21" s="130"/>
      <c r="D21" s="6">
        <v>11</v>
      </c>
      <c r="E21" s="5">
        <v>5.25</v>
      </c>
      <c r="F21" s="6">
        <v>5.25</v>
      </c>
      <c r="G21" s="6">
        <v>1.75</v>
      </c>
      <c r="H21" s="6">
        <v>1.75</v>
      </c>
      <c r="I21" s="6">
        <v>4</v>
      </c>
      <c r="J21" s="6">
        <v>2</v>
      </c>
      <c r="K21" s="177">
        <f t="shared" si="0"/>
        <v>1.3125</v>
      </c>
      <c r="L21" s="181"/>
      <c r="M21" s="185"/>
    </row>
    <row r="22" spans="1:13" x14ac:dyDescent="0.25">
      <c r="A22" s="130" t="s">
        <v>43</v>
      </c>
      <c r="B22" s="130"/>
      <c r="C22" s="130"/>
      <c r="D22" s="6">
        <v>12</v>
      </c>
      <c r="E22" s="6">
        <v>12.5</v>
      </c>
      <c r="F22" s="6">
        <v>10</v>
      </c>
      <c r="G22" s="6">
        <v>10</v>
      </c>
      <c r="H22" s="6">
        <v>8.25</v>
      </c>
      <c r="I22" s="6">
        <v>13</v>
      </c>
      <c r="J22" s="6">
        <v>11</v>
      </c>
      <c r="K22" s="177">
        <f t="shared" si="0"/>
        <v>0.76923076923076927</v>
      </c>
      <c r="L22" s="181">
        <f t="shared" si="1"/>
        <v>2.5</v>
      </c>
      <c r="M22" s="185">
        <f t="shared" si="2"/>
        <v>3.25</v>
      </c>
    </row>
    <row r="23" spans="1:13" x14ac:dyDescent="0.25">
      <c r="A23" s="130" t="s">
        <v>44</v>
      </c>
      <c r="B23" s="130"/>
      <c r="C23" s="130"/>
      <c r="D23" s="6">
        <v>13</v>
      </c>
      <c r="E23" s="6">
        <v>2</v>
      </c>
      <c r="F23" s="6">
        <v>2</v>
      </c>
      <c r="G23" s="6">
        <v>0.75</v>
      </c>
      <c r="H23" s="6">
        <v>0.75</v>
      </c>
      <c r="I23" s="6">
        <v>1</v>
      </c>
      <c r="J23" s="6">
        <v>1</v>
      </c>
      <c r="K23" s="177">
        <f t="shared" si="0"/>
        <v>2</v>
      </c>
      <c r="L23" s="181"/>
      <c r="M23" s="185"/>
    </row>
    <row r="24" spans="1:13" x14ac:dyDescent="0.25">
      <c r="A24" s="130" t="s">
        <v>45</v>
      </c>
      <c r="B24" s="130"/>
      <c r="C24" s="130"/>
      <c r="D24" s="6">
        <v>14</v>
      </c>
      <c r="E24" s="6">
        <v>11.5</v>
      </c>
      <c r="F24" s="6">
        <v>8.5</v>
      </c>
      <c r="G24" s="6">
        <v>5.5</v>
      </c>
      <c r="H24" s="6">
        <v>3.25</v>
      </c>
      <c r="I24" s="6">
        <v>7</v>
      </c>
      <c r="J24" s="6">
        <v>3</v>
      </c>
      <c r="K24" s="177">
        <f t="shared" si="0"/>
        <v>1.2142857142857142</v>
      </c>
      <c r="L24" s="181">
        <f t="shared" si="1"/>
        <v>3</v>
      </c>
      <c r="M24" s="185">
        <f t="shared" si="2"/>
        <v>2.4705882352941178</v>
      </c>
    </row>
    <row r="25" spans="1:13" x14ac:dyDescent="0.25">
      <c r="A25" s="130" t="s">
        <v>46</v>
      </c>
      <c r="B25" s="130"/>
      <c r="C25" s="130"/>
      <c r="D25" s="6">
        <v>15</v>
      </c>
      <c r="E25" s="6">
        <v>2</v>
      </c>
      <c r="F25" s="6">
        <v>2</v>
      </c>
      <c r="G25" s="6"/>
      <c r="H25" s="6"/>
      <c r="I25" s="6">
        <v>1</v>
      </c>
      <c r="J25" s="6"/>
      <c r="K25" s="177">
        <f t="shared" si="0"/>
        <v>2</v>
      </c>
      <c r="L25" s="181"/>
      <c r="M25" s="185"/>
    </row>
    <row r="26" spans="1:13" x14ac:dyDescent="0.25">
      <c r="A26" s="130" t="s">
        <v>47</v>
      </c>
      <c r="B26" s="130"/>
      <c r="C26" s="130"/>
      <c r="D26" s="6">
        <v>16</v>
      </c>
      <c r="E26" s="6">
        <v>38.5</v>
      </c>
      <c r="F26" s="6">
        <v>34</v>
      </c>
      <c r="G26" s="6">
        <v>27.75</v>
      </c>
      <c r="H26" s="6">
        <v>27.25</v>
      </c>
      <c r="I26" s="6">
        <v>27</v>
      </c>
      <c r="J26" s="6">
        <v>23</v>
      </c>
      <c r="K26" s="177">
        <f t="shared" si="0"/>
        <v>1.2592592592592593</v>
      </c>
      <c r="L26" s="181">
        <f t="shared" si="1"/>
        <v>4.5</v>
      </c>
      <c r="M26" s="185">
        <f t="shared" si="2"/>
        <v>3.5735294117647065</v>
      </c>
    </row>
    <row r="27" spans="1:13" x14ac:dyDescent="0.25">
      <c r="A27" s="130" t="s">
        <v>48</v>
      </c>
      <c r="B27" s="130"/>
      <c r="C27" s="130"/>
      <c r="D27" s="6">
        <v>17</v>
      </c>
      <c r="E27" s="6">
        <v>3.5</v>
      </c>
      <c r="F27" s="6">
        <v>3.5</v>
      </c>
      <c r="G27" s="6">
        <v>2.25</v>
      </c>
      <c r="H27" s="6">
        <v>2.25</v>
      </c>
      <c r="I27" s="6">
        <v>2</v>
      </c>
      <c r="J27" s="6">
        <v>1</v>
      </c>
      <c r="K27" s="177">
        <f t="shared" si="0"/>
        <v>1.75</v>
      </c>
      <c r="L27" s="181"/>
      <c r="M27" s="185"/>
    </row>
    <row r="28" spans="1:13" x14ac:dyDescent="0.25">
      <c r="A28" s="130" t="s">
        <v>49</v>
      </c>
      <c r="B28" s="130"/>
      <c r="C28" s="130"/>
      <c r="D28" s="6">
        <v>18</v>
      </c>
      <c r="E28" s="6">
        <v>6.75</v>
      </c>
      <c r="F28" s="6">
        <v>6.25</v>
      </c>
      <c r="G28" s="6">
        <v>4.75</v>
      </c>
      <c r="H28" s="6">
        <v>4.25</v>
      </c>
      <c r="I28" s="6">
        <v>7</v>
      </c>
      <c r="J28" s="6">
        <v>5</v>
      </c>
      <c r="K28" s="177">
        <f t="shared" si="0"/>
        <v>0.8928571428571429</v>
      </c>
      <c r="L28" s="181">
        <f t="shared" si="1"/>
        <v>0.5</v>
      </c>
      <c r="M28" s="185">
        <f t="shared" si="2"/>
        <v>0.55999999999999961</v>
      </c>
    </row>
    <row r="29" spans="1:13" x14ac:dyDescent="0.25">
      <c r="A29" s="130" t="s">
        <v>50</v>
      </c>
      <c r="B29" s="130"/>
      <c r="C29" s="130"/>
      <c r="D29" s="6">
        <v>19</v>
      </c>
      <c r="E29" s="6">
        <v>2.5</v>
      </c>
      <c r="F29" s="6">
        <v>2.5</v>
      </c>
      <c r="G29" s="6">
        <v>1</v>
      </c>
      <c r="H29" s="6">
        <v>1</v>
      </c>
      <c r="I29" s="6">
        <v>1</v>
      </c>
      <c r="J29" s="6"/>
      <c r="K29" s="177">
        <f t="shared" si="0"/>
        <v>2.5</v>
      </c>
      <c r="L29" s="181"/>
      <c r="M29" s="185"/>
    </row>
    <row r="30" spans="1:13" x14ac:dyDescent="0.25">
      <c r="A30" s="130" t="s">
        <v>51</v>
      </c>
      <c r="B30" s="130"/>
      <c r="C30" s="130"/>
      <c r="D30" s="6">
        <v>20</v>
      </c>
      <c r="E30" s="6">
        <v>4.75</v>
      </c>
      <c r="F30" s="6">
        <v>3.25</v>
      </c>
      <c r="G30" s="6">
        <v>1</v>
      </c>
      <c r="H30" s="6">
        <v>1</v>
      </c>
      <c r="I30" s="6">
        <v>2</v>
      </c>
      <c r="J30" s="6">
        <v>2</v>
      </c>
      <c r="K30" s="177">
        <f t="shared" si="0"/>
        <v>1.625</v>
      </c>
      <c r="L30" s="181">
        <f t="shared" si="1"/>
        <v>1.5</v>
      </c>
      <c r="M30" s="185">
        <f t="shared" si="2"/>
        <v>0.92307692307692291</v>
      </c>
    </row>
    <row r="31" spans="1:13" x14ac:dyDescent="0.25">
      <c r="A31" s="130" t="s">
        <v>52</v>
      </c>
      <c r="B31" s="130"/>
      <c r="C31" s="130"/>
      <c r="D31" s="6">
        <v>21</v>
      </c>
      <c r="E31" s="6">
        <v>2</v>
      </c>
      <c r="F31" s="6">
        <v>2</v>
      </c>
      <c r="G31" s="6"/>
      <c r="H31" s="6"/>
      <c r="I31" s="6">
        <v>2</v>
      </c>
      <c r="J31" s="6"/>
      <c r="K31" s="177">
        <f t="shared" si="0"/>
        <v>1</v>
      </c>
      <c r="L31" s="181"/>
      <c r="M31" s="185"/>
    </row>
    <row r="32" spans="1:13" x14ac:dyDescent="0.25">
      <c r="A32" s="130" t="s">
        <v>53</v>
      </c>
      <c r="B32" s="130"/>
      <c r="C32" s="130"/>
      <c r="D32" s="6">
        <v>22</v>
      </c>
      <c r="E32" s="6">
        <v>89.75</v>
      </c>
      <c r="F32" s="6">
        <v>80</v>
      </c>
      <c r="G32" s="6">
        <v>26.5</v>
      </c>
      <c r="H32" s="6">
        <v>22.5</v>
      </c>
      <c r="I32" s="6">
        <v>79</v>
      </c>
      <c r="J32" s="6">
        <v>21</v>
      </c>
      <c r="K32" s="177">
        <f t="shared" si="0"/>
        <v>1.0126582278481013</v>
      </c>
      <c r="L32" s="181">
        <f t="shared" si="1"/>
        <v>9.75</v>
      </c>
      <c r="M32" s="185">
        <f t="shared" si="2"/>
        <v>9.6281249999999972</v>
      </c>
    </row>
    <row r="33" spans="1:13" x14ac:dyDescent="0.25">
      <c r="A33" s="98" t="s">
        <v>54</v>
      </c>
      <c r="B33" s="98"/>
      <c r="C33" s="98"/>
      <c r="D33" s="5" t="s">
        <v>55</v>
      </c>
      <c r="E33" s="6"/>
      <c r="F33" s="6"/>
      <c r="G33" s="6"/>
      <c r="H33" s="6"/>
      <c r="I33" s="6"/>
      <c r="J33" s="6"/>
      <c r="K33" s="177"/>
      <c r="L33" s="181"/>
      <c r="M33" s="185"/>
    </row>
    <row r="34" spans="1:13" x14ac:dyDescent="0.25">
      <c r="A34" s="130" t="s">
        <v>56</v>
      </c>
      <c r="B34" s="130"/>
      <c r="C34" s="130"/>
      <c r="D34" s="6">
        <v>23</v>
      </c>
      <c r="E34" s="6">
        <v>4.25</v>
      </c>
      <c r="F34" s="6">
        <v>4.25</v>
      </c>
      <c r="G34" s="6">
        <v>0.5</v>
      </c>
      <c r="H34" s="6">
        <v>0.5</v>
      </c>
      <c r="I34" s="6">
        <v>3</v>
      </c>
      <c r="J34" s="6"/>
      <c r="K34" s="177">
        <f t="shared" si="0"/>
        <v>1.4166666666666667</v>
      </c>
      <c r="L34" s="181"/>
      <c r="M34" s="185"/>
    </row>
    <row r="35" spans="1:13" x14ac:dyDescent="0.25">
      <c r="A35" s="104" t="s">
        <v>57</v>
      </c>
      <c r="B35" s="104"/>
      <c r="C35" s="104"/>
      <c r="D35" s="6">
        <v>24</v>
      </c>
      <c r="E35" s="6">
        <v>50</v>
      </c>
      <c r="F35" s="6">
        <v>35.25</v>
      </c>
      <c r="G35" s="6">
        <v>22</v>
      </c>
      <c r="H35" s="6">
        <v>17.25</v>
      </c>
      <c r="I35" s="6">
        <v>30</v>
      </c>
      <c r="J35" s="6">
        <v>18</v>
      </c>
      <c r="K35" s="177">
        <f t="shared" si="0"/>
        <v>1.175</v>
      </c>
      <c r="L35" s="181">
        <f t="shared" si="1"/>
        <v>14.75</v>
      </c>
      <c r="M35" s="185">
        <f t="shared" si="2"/>
        <v>12.553191489361701</v>
      </c>
    </row>
    <row r="36" spans="1:13" x14ac:dyDescent="0.25">
      <c r="A36" s="130" t="s">
        <v>58</v>
      </c>
      <c r="B36" s="130"/>
      <c r="C36" s="130"/>
      <c r="D36" s="136" t="s">
        <v>59</v>
      </c>
      <c r="E36" s="98">
        <v>11</v>
      </c>
      <c r="F36" s="98">
        <v>8.75</v>
      </c>
      <c r="G36" s="98">
        <v>6.25</v>
      </c>
      <c r="H36" s="98">
        <v>4.5</v>
      </c>
      <c r="I36" s="98">
        <v>7</v>
      </c>
      <c r="J36" s="98">
        <v>4</v>
      </c>
      <c r="K36" s="178">
        <f t="shared" si="0"/>
        <v>1.25</v>
      </c>
      <c r="L36" s="182">
        <f t="shared" si="1"/>
        <v>2.25</v>
      </c>
      <c r="M36" s="186">
        <f t="shared" si="2"/>
        <v>1.8000000000000007</v>
      </c>
    </row>
    <row r="37" spans="1:13" x14ac:dyDescent="0.25">
      <c r="A37" s="130" t="s">
        <v>60</v>
      </c>
      <c r="B37" s="130"/>
      <c r="C37" s="130"/>
      <c r="D37" s="136"/>
      <c r="E37" s="98"/>
      <c r="F37" s="98"/>
      <c r="G37" s="98"/>
      <c r="H37" s="98"/>
      <c r="I37" s="98"/>
      <c r="J37" s="98"/>
      <c r="K37" s="179"/>
      <c r="L37" s="183"/>
      <c r="M37" s="187"/>
    </row>
    <row r="38" spans="1:13" x14ac:dyDescent="0.25">
      <c r="A38" s="130" t="s">
        <v>61</v>
      </c>
      <c r="B38" s="130"/>
      <c r="C38" s="130"/>
      <c r="D38" s="5" t="s">
        <v>62</v>
      </c>
      <c r="E38" s="6">
        <v>6</v>
      </c>
      <c r="F38" s="6">
        <v>3</v>
      </c>
      <c r="G38" s="6"/>
      <c r="H38" s="6"/>
      <c r="I38" s="6">
        <v>2</v>
      </c>
      <c r="J38" s="6"/>
      <c r="K38" s="177">
        <f t="shared" si="0"/>
        <v>1.5</v>
      </c>
      <c r="L38" s="181">
        <f t="shared" si="1"/>
        <v>3</v>
      </c>
      <c r="M38" s="185">
        <f t="shared" si="2"/>
        <v>2</v>
      </c>
    </row>
    <row r="39" spans="1:13" x14ac:dyDescent="0.25">
      <c r="A39" s="130" t="s">
        <v>63</v>
      </c>
      <c r="B39" s="130"/>
      <c r="C39" s="130"/>
      <c r="D39" s="5" t="s">
        <v>64</v>
      </c>
      <c r="E39" s="6">
        <v>9.5</v>
      </c>
      <c r="F39" s="6">
        <v>6.25</v>
      </c>
      <c r="G39" s="6">
        <v>3.25</v>
      </c>
      <c r="H39" s="6">
        <v>3.25</v>
      </c>
      <c r="I39" s="6">
        <v>6</v>
      </c>
      <c r="J39" s="6">
        <v>3</v>
      </c>
      <c r="K39" s="177">
        <f t="shared" si="0"/>
        <v>1.0416666666666667</v>
      </c>
      <c r="L39" s="181">
        <f t="shared" si="1"/>
        <v>3.25</v>
      </c>
      <c r="M39" s="185">
        <f t="shared" si="2"/>
        <v>3.1199999999999992</v>
      </c>
    </row>
    <row r="40" spans="1:13" x14ac:dyDescent="0.25">
      <c r="A40" s="130" t="s">
        <v>65</v>
      </c>
      <c r="B40" s="130"/>
      <c r="C40" s="130"/>
      <c r="D40" s="6">
        <v>25</v>
      </c>
      <c r="E40" s="6"/>
      <c r="F40" s="6"/>
      <c r="G40" s="6"/>
      <c r="H40" s="6"/>
      <c r="I40" s="6"/>
      <c r="J40" s="6"/>
      <c r="K40" s="177"/>
      <c r="L40" s="181"/>
      <c r="M40" s="185"/>
    </row>
    <row r="41" spans="1:13" x14ac:dyDescent="0.25">
      <c r="A41" s="104" t="s">
        <v>66</v>
      </c>
      <c r="B41" s="104"/>
      <c r="C41" s="104"/>
      <c r="D41" s="6">
        <v>26</v>
      </c>
      <c r="E41" s="6">
        <v>2.25</v>
      </c>
      <c r="F41" s="6">
        <v>2</v>
      </c>
      <c r="G41" s="6">
        <v>2.25</v>
      </c>
      <c r="H41" s="6">
        <v>2</v>
      </c>
      <c r="I41" s="6">
        <v>1</v>
      </c>
      <c r="J41" s="6">
        <v>1</v>
      </c>
      <c r="K41" s="177">
        <f t="shared" si="0"/>
        <v>2</v>
      </c>
      <c r="L41" s="181">
        <f t="shared" si="1"/>
        <v>0.25</v>
      </c>
      <c r="M41" s="185">
        <f t="shared" si="2"/>
        <v>0.125</v>
      </c>
    </row>
    <row r="42" spans="1:13" x14ac:dyDescent="0.25">
      <c r="A42" s="104" t="s">
        <v>67</v>
      </c>
      <c r="B42" s="104"/>
      <c r="C42" s="104"/>
      <c r="D42" s="6">
        <v>27</v>
      </c>
      <c r="E42" s="6">
        <v>35.5</v>
      </c>
      <c r="F42" s="6">
        <v>33.75</v>
      </c>
      <c r="G42" s="6">
        <v>26</v>
      </c>
      <c r="H42" s="6">
        <v>24.5</v>
      </c>
      <c r="I42" s="6">
        <v>33</v>
      </c>
      <c r="J42" s="6">
        <v>23</v>
      </c>
      <c r="K42" s="177">
        <f t="shared" si="0"/>
        <v>1.0227272727272727</v>
      </c>
      <c r="L42" s="181">
        <f t="shared" si="1"/>
        <v>1.75</v>
      </c>
      <c r="M42" s="185">
        <f t="shared" si="2"/>
        <v>1.7111111111111086</v>
      </c>
    </row>
    <row r="43" spans="1:13" x14ac:dyDescent="0.25">
      <c r="A43" s="104" t="s">
        <v>68</v>
      </c>
      <c r="B43" s="104"/>
      <c r="C43" s="104"/>
      <c r="D43" s="6">
        <v>28</v>
      </c>
      <c r="E43" s="6">
        <v>7</v>
      </c>
      <c r="F43" s="6">
        <v>7</v>
      </c>
      <c r="G43" s="6"/>
      <c r="H43" s="6"/>
      <c r="I43" s="6">
        <v>5</v>
      </c>
      <c r="J43" s="6"/>
      <c r="K43" s="177">
        <f t="shared" si="0"/>
        <v>1.4</v>
      </c>
      <c r="L43" s="181"/>
      <c r="M43" s="185"/>
    </row>
    <row r="44" spans="1:13" x14ac:dyDescent="0.25">
      <c r="A44" s="104" t="s">
        <v>69</v>
      </c>
      <c r="B44" s="104"/>
      <c r="C44" s="104"/>
      <c r="D44" s="6">
        <v>29</v>
      </c>
      <c r="E44" s="6"/>
      <c r="F44" s="6"/>
      <c r="G44" s="6"/>
      <c r="H44" s="6"/>
      <c r="I44" s="6"/>
      <c r="J44" s="6"/>
      <c r="K44" s="177"/>
      <c r="L44" s="181"/>
      <c r="M44" s="185"/>
    </row>
    <row r="45" spans="1:13" x14ac:dyDescent="0.25">
      <c r="A45" s="141" t="s">
        <v>70</v>
      </c>
      <c r="B45" s="141"/>
      <c r="C45" s="141"/>
      <c r="D45" s="6">
        <v>30</v>
      </c>
      <c r="E45" s="6">
        <v>130.25</v>
      </c>
      <c r="F45" s="6">
        <v>119.25</v>
      </c>
      <c r="G45" s="6">
        <v>48.25</v>
      </c>
      <c r="H45" s="6">
        <v>47.5</v>
      </c>
      <c r="I45" s="6">
        <v>88</v>
      </c>
      <c r="J45" s="6">
        <v>41</v>
      </c>
      <c r="K45" s="177">
        <f t="shared" si="0"/>
        <v>1.3551136363636365</v>
      </c>
      <c r="L45" s="181">
        <f t="shared" si="1"/>
        <v>11</v>
      </c>
      <c r="M45" s="185">
        <f t="shared" si="2"/>
        <v>8.1174004192872076</v>
      </c>
    </row>
    <row r="46" spans="1:13" x14ac:dyDescent="0.25">
      <c r="A46" s="130" t="s">
        <v>71</v>
      </c>
      <c r="B46" s="130"/>
      <c r="C46" s="130"/>
      <c r="D46" s="5" t="s">
        <v>72</v>
      </c>
      <c r="E46" s="6">
        <v>93.75</v>
      </c>
      <c r="F46" s="6">
        <v>89</v>
      </c>
      <c r="G46" s="6">
        <v>42.5</v>
      </c>
      <c r="H46" s="6">
        <v>41.75</v>
      </c>
      <c r="I46" s="6">
        <v>63</v>
      </c>
      <c r="J46" s="6">
        <v>35</v>
      </c>
      <c r="K46" s="177">
        <f t="shared" si="0"/>
        <v>1.4126984126984128</v>
      </c>
      <c r="L46" s="181">
        <f t="shared" si="1"/>
        <v>4.75</v>
      </c>
      <c r="M46" s="185">
        <f t="shared" si="2"/>
        <v>3.3623595505617914</v>
      </c>
    </row>
    <row r="47" spans="1:13" x14ac:dyDescent="0.25">
      <c r="A47" s="130" t="s">
        <v>73</v>
      </c>
      <c r="B47" s="130"/>
      <c r="C47" s="130"/>
      <c r="D47" s="5" t="s">
        <v>74</v>
      </c>
      <c r="E47" s="6">
        <v>3.25</v>
      </c>
      <c r="F47" s="6">
        <v>3.25</v>
      </c>
      <c r="G47" s="6"/>
      <c r="H47" s="6"/>
      <c r="I47" s="6">
        <v>3</v>
      </c>
      <c r="J47" s="6"/>
      <c r="K47" s="177">
        <f t="shared" si="0"/>
        <v>1.0833333333333333</v>
      </c>
      <c r="L47" s="181"/>
      <c r="M47" s="185"/>
    </row>
    <row r="48" spans="1:13" x14ac:dyDescent="0.25">
      <c r="A48" s="130" t="s">
        <v>75</v>
      </c>
      <c r="B48" s="130"/>
      <c r="C48" s="130"/>
      <c r="D48" s="5" t="s">
        <v>76</v>
      </c>
      <c r="E48" s="6"/>
      <c r="F48" s="6"/>
      <c r="G48" s="6"/>
      <c r="H48" s="6"/>
      <c r="I48" s="6"/>
      <c r="J48" s="6"/>
      <c r="K48" s="177"/>
      <c r="L48" s="181"/>
      <c r="M48" s="185"/>
    </row>
    <row r="49" spans="1:13" x14ac:dyDescent="0.25">
      <c r="A49" s="130" t="s">
        <v>77</v>
      </c>
      <c r="B49" s="130"/>
      <c r="C49" s="130"/>
      <c r="D49" s="5" t="s">
        <v>78</v>
      </c>
      <c r="E49" s="6"/>
      <c r="F49" s="6"/>
      <c r="G49" s="6"/>
      <c r="H49" s="6"/>
      <c r="I49" s="6"/>
      <c r="J49" s="6"/>
      <c r="K49" s="177"/>
      <c r="L49" s="181"/>
      <c r="M49" s="185"/>
    </row>
    <row r="50" spans="1:13" x14ac:dyDescent="0.25">
      <c r="A50" s="130" t="s">
        <v>79</v>
      </c>
      <c r="B50" s="130"/>
      <c r="C50" s="130"/>
      <c r="D50" s="6">
        <v>31</v>
      </c>
      <c r="E50" s="6">
        <v>15.5</v>
      </c>
      <c r="F50" s="6">
        <v>13.75</v>
      </c>
      <c r="G50" s="6">
        <v>5.75</v>
      </c>
      <c r="H50" s="6">
        <v>5</v>
      </c>
      <c r="I50" s="6">
        <v>16</v>
      </c>
      <c r="J50" s="6">
        <v>5</v>
      </c>
      <c r="K50" s="177">
        <f t="shared" si="0"/>
        <v>0.859375</v>
      </c>
      <c r="L50" s="181">
        <f t="shared" si="1"/>
        <v>1.75</v>
      </c>
      <c r="M50" s="185">
        <f t="shared" si="2"/>
        <v>2.0363636363636353</v>
      </c>
    </row>
    <row r="51" spans="1:13" x14ac:dyDescent="0.25">
      <c r="A51" s="130" t="s">
        <v>80</v>
      </c>
      <c r="B51" s="130"/>
      <c r="C51" s="130"/>
      <c r="D51" s="6">
        <v>32</v>
      </c>
      <c r="E51" s="6">
        <v>8.75</v>
      </c>
      <c r="F51" s="6">
        <v>8.75</v>
      </c>
      <c r="G51" s="6">
        <v>0.5</v>
      </c>
      <c r="H51" s="6">
        <v>0.5</v>
      </c>
      <c r="I51" s="6">
        <v>5</v>
      </c>
      <c r="J51" s="6"/>
      <c r="K51" s="177">
        <f t="shared" si="0"/>
        <v>1.75</v>
      </c>
      <c r="L51" s="181"/>
      <c r="M51" s="185"/>
    </row>
    <row r="52" spans="1:13" x14ac:dyDescent="0.25">
      <c r="A52" s="130" t="s">
        <v>81</v>
      </c>
      <c r="B52" s="130"/>
      <c r="C52" s="130"/>
      <c r="D52" s="6">
        <v>33</v>
      </c>
      <c r="E52" s="6"/>
      <c r="F52" s="6"/>
      <c r="G52" s="6"/>
      <c r="H52" s="6"/>
      <c r="I52" s="6"/>
      <c r="J52" s="6"/>
      <c r="K52" s="177"/>
      <c r="L52" s="181"/>
      <c r="M52" s="185"/>
    </row>
    <row r="53" spans="1:13" x14ac:dyDescent="0.25">
      <c r="A53" s="130" t="s">
        <v>82</v>
      </c>
      <c r="B53" s="130"/>
      <c r="C53" s="130"/>
      <c r="D53" s="6">
        <v>34</v>
      </c>
      <c r="E53" s="6">
        <v>24.75</v>
      </c>
      <c r="F53" s="6">
        <v>21.5</v>
      </c>
      <c r="G53" s="6">
        <v>1.75</v>
      </c>
      <c r="H53" s="6">
        <v>1.75</v>
      </c>
      <c r="I53" s="6">
        <v>16</v>
      </c>
      <c r="J53" s="6">
        <v>2</v>
      </c>
      <c r="K53" s="177">
        <f t="shared" si="0"/>
        <v>1.34375</v>
      </c>
      <c r="L53" s="181">
        <f t="shared" si="1"/>
        <v>3.25</v>
      </c>
      <c r="M53" s="185">
        <f t="shared" si="2"/>
        <v>2.4186046511627914</v>
      </c>
    </row>
    <row r="54" spans="1:13" x14ac:dyDescent="0.25">
      <c r="A54" s="130" t="s">
        <v>83</v>
      </c>
      <c r="B54" s="130"/>
      <c r="C54" s="130"/>
      <c r="D54" s="6">
        <v>35</v>
      </c>
      <c r="E54" s="6">
        <v>3</v>
      </c>
      <c r="F54" s="6">
        <v>3</v>
      </c>
      <c r="G54" s="6"/>
      <c r="H54" s="6"/>
      <c r="I54" s="6">
        <v>3</v>
      </c>
      <c r="J54" s="6"/>
      <c r="K54" s="177">
        <f t="shared" si="0"/>
        <v>1</v>
      </c>
      <c r="L54" s="181"/>
      <c r="M54" s="185"/>
    </row>
    <row r="55" spans="1:13" x14ac:dyDescent="0.25">
      <c r="A55" s="130" t="s">
        <v>84</v>
      </c>
      <c r="B55" s="130"/>
      <c r="C55" s="130"/>
      <c r="D55" s="6">
        <v>36</v>
      </c>
      <c r="E55" s="6">
        <v>49.75</v>
      </c>
      <c r="F55" s="6">
        <v>45.5</v>
      </c>
      <c r="G55" s="6">
        <v>23.5</v>
      </c>
      <c r="H55" s="6">
        <v>19.25</v>
      </c>
      <c r="I55" s="6">
        <v>38</v>
      </c>
      <c r="J55" s="6">
        <v>20</v>
      </c>
      <c r="K55" s="177">
        <f t="shared" si="0"/>
        <v>1.1973684210526316</v>
      </c>
      <c r="L55" s="181">
        <f t="shared" si="1"/>
        <v>4.25</v>
      </c>
      <c r="M55" s="185">
        <f t="shared" si="2"/>
        <v>3.5494505494505475</v>
      </c>
    </row>
    <row r="56" spans="1:13" x14ac:dyDescent="0.25">
      <c r="A56" s="130" t="s">
        <v>85</v>
      </c>
      <c r="B56" s="130"/>
      <c r="C56" s="130"/>
      <c r="D56" s="6" t="s">
        <v>86</v>
      </c>
      <c r="E56" s="6">
        <v>15.5</v>
      </c>
      <c r="F56" s="6">
        <v>15</v>
      </c>
      <c r="G56" s="6"/>
      <c r="H56" s="6"/>
      <c r="I56" s="6">
        <v>11</v>
      </c>
      <c r="J56" s="6"/>
      <c r="K56" s="177">
        <f t="shared" si="0"/>
        <v>1.3636363636363635</v>
      </c>
      <c r="L56" s="181">
        <f t="shared" si="1"/>
        <v>0.5</v>
      </c>
      <c r="M56" s="185">
        <f t="shared" si="2"/>
        <v>0.36666666666666714</v>
      </c>
    </row>
    <row r="57" spans="1:13" x14ac:dyDescent="0.25">
      <c r="A57" s="130" t="s">
        <v>87</v>
      </c>
      <c r="B57" s="130"/>
      <c r="C57" s="130"/>
      <c r="D57" s="6">
        <v>37</v>
      </c>
      <c r="E57" s="6">
        <v>15.5</v>
      </c>
      <c r="F57" s="6">
        <v>15.5</v>
      </c>
      <c r="G57" s="6">
        <v>2.5</v>
      </c>
      <c r="H57" s="6">
        <v>2.5</v>
      </c>
      <c r="I57" s="6">
        <v>10</v>
      </c>
      <c r="J57" s="6">
        <v>1</v>
      </c>
      <c r="K57" s="177">
        <f t="shared" si="0"/>
        <v>1.55</v>
      </c>
      <c r="L57" s="181"/>
      <c r="M57" s="185"/>
    </row>
    <row r="58" spans="1:13" x14ac:dyDescent="0.25">
      <c r="A58" s="130" t="s">
        <v>88</v>
      </c>
      <c r="B58" s="130"/>
      <c r="C58" s="130"/>
      <c r="D58" s="6" t="s">
        <v>89</v>
      </c>
      <c r="E58" s="6">
        <v>1</v>
      </c>
      <c r="F58" s="6">
        <v>1</v>
      </c>
      <c r="G58" s="6"/>
      <c r="H58" s="6"/>
      <c r="I58" s="6">
        <v>1</v>
      </c>
      <c r="J58" s="6"/>
      <c r="K58" s="177">
        <f t="shared" si="0"/>
        <v>1</v>
      </c>
      <c r="L58" s="181"/>
      <c r="M58" s="185"/>
    </row>
    <row r="59" spans="1:13" x14ac:dyDescent="0.25">
      <c r="A59" s="130" t="s">
        <v>90</v>
      </c>
      <c r="B59" s="130"/>
      <c r="C59" s="130"/>
      <c r="D59" s="6">
        <v>38</v>
      </c>
      <c r="E59" s="6">
        <v>19.5</v>
      </c>
      <c r="F59" s="6">
        <v>19</v>
      </c>
      <c r="G59" s="6">
        <v>11.25</v>
      </c>
      <c r="H59" s="6">
        <v>10.75</v>
      </c>
      <c r="I59" s="6">
        <v>18</v>
      </c>
      <c r="J59" s="6">
        <v>11</v>
      </c>
      <c r="K59" s="177">
        <f t="shared" si="0"/>
        <v>1.0555555555555556</v>
      </c>
      <c r="L59" s="181">
        <f t="shared" si="1"/>
        <v>0.5</v>
      </c>
      <c r="M59" s="185">
        <f t="shared" si="2"/>
        <v>0.47368421052631504</v>
      </c>
    </row>
    <row r="60" spans="1:13" x14ac:dyDescent="0.25">
      <c r="A60" s="130" t="s">
        <v>91</v>
      </c>
      <c r="B60" s="130"/>
      <c r="C60" s="130"/>
      <c r="D60" s="6" t="s">
        <v>92</v>
      </c>
      <c r="E60" s="6">
        <v>0.25</v>
      </c>
      <c r="F60" s="6">
        <v>0.25</v>
      </c>
      <c r="G60" s="6"/>
      <c r="H60" s="6"/>
      <c r="I60" s="6"/>
      <c r="J60" s="6"/>
      <c r="K60" s="177"/>
      <c r="L60" s="181"/>
      <c r="M60" s="185"/>
    </row>
    <row r="61" spans="1:13" x14ac:dyDescent="0.25">
      <c r="A61" s="130" t="s">
        <v>93</v>
      </c>
      <c r="B61" s="130"/>
      <c r="C61" s="130"/>
      <c r="D61" s="6">
        <v>39</v>
      </c>
      <c r="E61" s="6">
        <v>1.25</v>
      </c>
      <c r="F61" s="6">
        <v>1.25</v>
      </c>
      <c r="G61" s="6"/>
      <c r="H61" s="6"/>
      <c r="I61" s="6">
        <v>1</v>
      </c>
      <c r="J61" s="6"/>
      <c r="K61" s="177">
        <f t="shared" si="0"/>
        <v>1.25</v>
      </c>
      <c r="L61" s="181"/>
      <c r="M61" s="185"/>
    </row>
    <row r="62" spans="1:13" x14ac:dyDescent="0.25">
      <c r="A62" s="130" t="s">
        <v>94</v>
      </c>
      <c r="B62" s="130"/>
      <c r="C62" s="130"/>
      <c r="D62" s="6">
        <v>40</v>
      </c>
      <c r="E62" s="6">
        <v>19.75</v>
      </c>
      <c r="F62" s="6">
        <v>14.75</v>
      </c>
      <c r="G62" s="6"/>
      <c r="H62" s="6"/>
      <c r="I62" s="6">
        <v>10</v>
      </c>
      <c r="J62" s="6"/>
      <c r="K62" s="177">
        <f t="shared" si="0"/>
        <v>1.4750000000000001</v>
      </c>
      <c r="L62" s="181">
        <f t="shared" si="1"/>
        <v>5</v>
      </c>
      <c r="M62" s="185">
        <f t="shared" si="2"/>
        <v>3.3898305084745761</v>
      </c>
    </row>
    <row r="63" spans="1:13" x14ac:dyDescent="0.25">
      <c r="A63" s="130" t="s">
        <v>95</v>
      </c>
      <c r="B63" s="130"/>
      <c r="C63" s="130"/>
      <c r="D63" s="6">
        <v>41</v>
      </c>
      <c r="E63" s="6">
        <v>2</v>
      </c>
      <c r="F63" s="6">
        <v>2</v>
      </c>
      <c r="G63" s="6"/>
      <c r="H63" s="6"/>
      <c r="I63" s="6">
        <v>2</v>
      </c>
      <c r="J63" s="6"/>
      <c r="K63" s="177">
        <f t="shared" si="0"/>
        <v>1</v>
      </c>
      <c r="L63" s="181"/>
      <c r="M63" s="185"/>
    </row>
    <row r="64" spans="1:13" x14ac:dyDescent="0.25">
      <c r="A64" s="130" t="s">
        <v>96</v>
      </c>
      <c r="B64" s="130"/>
      <c r="C64" s="130"/>
      <c r="D64" s="6">
        <v>42</v>
      </c>
      <c r="E64" s="6">
        <v>184.5</v>
      </c>
      <c r="F64" s="6">
        <v>170.25</v>
      </c>
      <c r="G64" s="6">
        <v>2</v>
      </c>
      <c r="H64" s="6">
        <v>2</v>
      </c>
      <c r="I64" s="6">
        <v>118</v>
      </c>
      <c r="J64" s="6">
        <v>4</v>
      </c>
      <c r="K64" s="177">
        <f t="shared" si="0"/>
        <v>1.4427966101694916</v>
      </c>
      <c r="L64" s="181">
        <f t="shared" si="1"/>
        <v>14.25</v>
      </c>
      <c r="M64" s="185">
        <f t="shared" si="2"/>
        <v>9.8766519823788457</v>
      </c>
    </row>
    <row r="65" spans="1:13" x14ac:dyDescent="0.25">
      <c r="A65" s="130" t="s">
        <v>97</v>
      </c>
      <c r="B65" s="130"/>
      <c r="C65" s="130"/>
      <c r="D65" s="6">
        <v>43</v>
      </c>
      <c r="E65" s="6">
        <v>36.5</v>
      </c>
      <c r="F65" s="6">
        <v>30.25</v>
      </c>
      <c r="G65" s="6"/>
      <c r="H65" s="6"/>
      <c r="I65" s="6">
        <v>13</v>
      </c>
      <c r="J65" s="6"/>
      <c r="K65" s="177">
        <f t="shared" si="0"/>
        <v>2.3269230769230771</v>
      </c>
      <c r="L65" s="181">
        <f t="shared" si="1"/>
        <v>6.25</v>
      </c>
      <c r="M65" s="185">
        <f t="shared" si="2"/>
        <v>2.6859504132231393</v>
      </c>
    </row>
    <row r="66" spans="1:13" x14ac:dyDescent="0.25">
      <c r="A66" s="130" t="s">
        <v>98</v>
      </c>
      <c r="B66" s="130"/>
      <c r="C66" s="130"/>
      <c r="D66" s="6">
        <v>44</v>
      </c>
      <c r="E66" s="6"/>
      <c r="F66" s="6"/>
      <c r="G66" s="6"/>
      <c r="H66" s="6"/>
      <c r="I66" s="6"/>
      <c r="J66" s="6"/>
      <c r="K66" s="177"/>
      <c r="L66" s="181"/>
      <c r="M66" s="185"/>
    </row>
    <row r="67" spans="1:13" x14ac:dyDescent="0.25">
      <c r="A67" s="130" t="s">
        <v>99</v>
      </c>
      <c r="B67" s="130"/>
      <c r="C67" s="130"/>
      <c r="D67" s="6">
        <v>45</v>
      </c>
      <c r="E67" s="6">
        <v>17.25</v>
      </c>
      <c r="F67" s="6">
        <v>16.25</v>
      </c>
      <c r="G67" s="6">
        <v>6.25</v>
      </c>
      <c r="H67" s="6">
        <v>5.75</v>
      </c>
      <c r="I67" s="6">
        <v>18</v>
      </c>
      <c r="J67" s="6">
        <v>8</v>
      </c>
      <c r="K67" s="177">
        <f t="shared" si="0"/>
        <v>0.90277777777777779</v>
      </c>
      <c r="L67" s="181">
        <f t="shared" si="1"/>
        <v>1</v>
      </c>
      <c r="M67" s="185">
        <f t="shared" si="2"/>
        <v>1.1076923076923073</v>
      </c>
    </row>
    <row r="68" spans="1:13" x14ac:dyDescent="0.25">
      <c r="A68" s="130" t="s">
        <v>100</v>
      </c>
      <c r="B68" s="130"/>
      <c r="C68" s="130"/>
      <c r="D68" s="6">
        <v>46</v>
      </c>
      <c r="E68" s="6">
        <v>1</v>
      </c>
      <c r="F68" s="6">
        <v>1</v>
      </c>
      <c r="G68" s="6"/>
      <c r="H68" s="6"/>
      <c r="I68" s="6"/>
      <c r="J68" s="6"/>
      <c r="K68" s="177"/>
      <c r="L68" s="181"/>
      <c r="M68" s="185"/>
    </row>
    <row r="69" spans="1:13" x14ac:dyDescent="0.25">
      <c r="A69" s="130" t="s">
        <v>101</v>
      </c>
      <c r="B69" s="130"/>
      <c r="C69" s="130"/>
      <c r="D69" s="6">
        <v>47</v>
      </c>
      <c r="E69" s="6">
        <v>55.25</v>
      </c>
      <c r="F69" s="6">
        <v>43.25</v>
      </c>
      <c r="G69" s="6">
        <v>41.25</v>
      </c>
      <c r="H69" s="6">
        <v>34.75</v>
      </c>
      <c r="I69" s="6">
        <v>41</v>
      </c>
      <c r="J69" s="6">
        <v>28</v>
      </c>
      <c r="K69" s="177">
        <f t="shared" si="0"/>
        <v>1.0548780487804879</v>
      </c>
      <c r="L69" s="181">
        <f t="shared" si="1"/>
        <v>12</v>
      </c>
      <c r="M69" s="185">
        <f t="shared" si="2"/>
        <v>11.375722543352602</v>
      </c>
    </row>
    <row r="70" spans="1:13" x14ac:dyDescent="0.25">
      <c r="A70" s="130" t="s">
        <v>102</v>
      </c>
      <c r="B70" s="130"/>
      <c r="C70" s="130"/>
      <c r="D70" s="6" t="s">
        <v>103</v>
      </c>
      <c r="E70" s="6">
        <v>13</v>
      </c>
      <c r="F70" s="6">
        <v>12</v>
      </c>
      <c r="G70" s="6">
        <v>10</v>
      </c>
      <c r="H70" s="6">
        <v>9</v>
      </c>
      <c r="I70" s="6">
        <v>12</v>
      </c>
      <c r="J70" s="6">
        <v>9</v>
      </c>
      <c r="K70" s="177">
        <f t="shared" ref="K70:K133" si="3">F70/I70</f>
        <v>1</v>
      </c>
      <c r="L70" s="181">
        <f t="shared" ref="L70:L133" si="4">E70-F70</f>
        <v>1</v>
      </c>
      <c r="M70" s="185">
        <f t="shared" ref="M70:M133" si="5">E70/K70-I70</f>
        <v>1</v>
      </c>
    </row>
    <row r="71" spans="1:13" x14ac:dyDescent="0.25">
      <c r="A71" s="130" t="s">
        <v>104</v>
      </c>
      <c r="B71" s="130"/>
      <c r="C71" s="130"/>
      <c r="D71" s="1">
        <v>48</v>
      </c>
      <c r="E71" s="6">
        <v>2.25</v>
      </c>
      <c r="F71" s="6">
        <v>2.25</v>
      </c>
      <c r="G71" s="6"/>
      <c r="H71" s="6"/>
      <c r="I71" s="6">
        <v>1</v>
      </c>
      <c r="J71" s="6"/>
      <c r="K71" s="177">
        <f t="shared" si="3"/>
        <v>2.25</v>
      </c>
      <c r="L71" s="181"/>
      <c r="M71" s="185"/>
    </row>
    <row r="72" spans="1:13" x14ac:dyDescent="0.25">
      <c r="A72" s="130" t="s">
        <v>105</v>
      </c>
      <c r="B72" s="130"/>
      <c r="C72" s="130"/>
      <c r="D72" s="6">
        <v>49</v>
      </c>
      <c r="E72" s="1">
        <v>11</v>
      </c>
      <c r="F72" s="6">
        <v>11</v>
      </c>
      <c r="G72" s="1"/>
      <c r="H72" s="6"/>
      <c r="I72" s="6">
        <v>8</v>
      </c>
      <c r="J72" s="6"/>
      <c r="K72" s="177">
        <f t="shared" si="3"/>
        <v>1.375</v>
      </c>
      <c r="L72" s="181"/>
      <c r="M72" s="185"/>
    </row>
    <row r="73" spans="1:13" x14ac:dyDescent="0.25">
      <c r="A73" s="130" t="s">
        <v>106</v>
      </c>
      <c r="B73" s="130"/>
      <c r="C73" s="130"/>
      <c r="D73" s="6">
        <v>50</v>
      </c>
      <c r="E73" s="1">
        <v>27.75</v>
      </c>
      <c r="F73" s="6">
        <v>26.75</v>
      </c>
      <c r="G73" s="1">
        <v>25.5</v>
      </c>
      <c r="H73" s="6">
        <v>24.5</v>
      </c>
      <c r="I73" s="6">
        <v>26</v>
      </c>
      <c r="J73" s="6">
        <v>24</v>
      </c>
      <c r="K73" s="177">
        <f t="shared" si="3"/>
        <v>1.0288461538461537</v>
      </c>
      <c r="L73" s="181">
        <f t="shared" si="4"/>
        <v>1</v>
      </c>
      <c r="M73" s="185">
        <f t="shared" si="5"/>
        <v>0.9719626168224309</v>
      </c>
    </row>
    <row r="74" spans="1:13" x14ac:dyDescent="0.25">
      <c r="A74" s="130" t="s">
        <v>107</v>
      </c>
      <c r="B74" s="130"/>
      <c r="C74" s="130"/>
      <c r="D74" s="6">
        <v>51</v>
      </c>
      <c r="E74" s="6">
        <v>17.25</v>
      </c>
      <c r="F74" s="6">
        <v>16.25</v>
      </c>
      <c r="G74" s="6">
        <v>15.25</v>
      </c>
      <c r="H74" s="6">
        <v>14.25</v>
      </c>
      <c r="I74" s="6">
        <v>11</v>
      </c>
      <c r="J74" s="6">
        <v>10</v>
      </c>
      <c r="K74" s="177">
        <f t="shared" si="3"/>
        <v>1.4772727272727273</v>
      </c>
      <c r="L74" s="181">
        <f t="shared" si="4"/>
        <v>1</v>
      </c>
      <c r="M74" s="185">
        <f t="shared" si="5"/>
        <v>0.67692307692307629</v>
      </c>
    </row>
    <row r="75" spans="1:13" x14ac:dyDescent="0.25">
      <c r="A75" s="130" t="s">
        <v>108</v>
      </c>
      <c r="B75" s="130"/>
      <c r="C75" s="130"/>
      <c r="D75" s="6">
        <v>52</v>
      </c>
      <c r="E75" s="6">
        <v>6.5</v>
      </c>
      <c r="F75" s="6">
        <v>6.5</v>
      </c>
      <c r="G75" s="6">
        <v>1</v>
      </c>
      <c r="H75" s="6">
        <v>1</v>
      </c>
      <c r="I75" s="6">
        <v>6</v>
      </c>
      <c r="J75" s="6">
        <v>1</v>
      </c>
      <c r="K75" s="177">
        <f t="shared" si="3"/>
        <v>1.0833333333333333</v>
      </c>
      <c r="L75" s="181"/>
      <c r="M75" s="185"/>
    </row>
    <row r="76" spans="1:13" x14ac:dyDescent="0.25">
      <c r="A76" s="130" t="s">
        <v>109</v>
      </c>
      <c r="B76" s="130"/>
      <c r="C76" s="130"/>
      <c r="D76" s="6">
        <v>53</v>
      </c>
      <c r="E76" s="6">
        <v>1.25</v>
      </c>
      <c r="F76" s="6">
        <v>1.25</v>
      </c>
      <c r="G76" s="6"/>
      <c r="H76" s="6"/>
      <c r="I76" s="6"/>
      <c r="J76" s="6"/>
      <c r="K76" s="177"/>
      <c r="L76" s="181"/>
      <c r="M76" s="185"/>
    </row>
    <row r="77" spans="1:13" x14ac:dyDescent="0.25">
      <c r="A77" s="130" t="s">
        <v>110</v>
      </c>
      <c r="B77" s="130"/>
      <c r="C77" s="130"/>
      <c r="D77" s="6">
        <v>54</v>
      </c>
      <c r="E77" s="6">
        <v>7.5</v>
      </c>
      <c r="F77" s="6">
        <v>5.75</v>
      </c>
      <c r="G77" s="6"/>
      <c r="H77" s="6"/>
      <c r="I77" s="6">
        <v>4</v>
      </c>
      <c r="J77" s="6"/>
      <c r="K77" s="177">
        <f t="shared" si="3"/>
        <v>1.4375</v>
      </c>
      <c r="L77" s="181">
        <f t="shared" si="4"/>
        <v>1.75</v>
      </c>
      <c r="M77" s="185">
        <f t="shared" si="5"/>
        <v>1.2173913043478262</v>
      </c>
    </row>
    <row r="78" spans="1:13" x14ac:dyDescent="0.25">
      <c r="A78" s="130" t="s">
        <v>111</v>
      </c>
      <c r="B78" s="130"/>
      <c r="C78" s="130"/>
      <c r="D78" s="6">
        <v>55</v>
      </c>
      <c r="E78" s="6">
        <v>6.5</v>
      </c>
      <c r="F78" s="6">
        <v>4.5</v>
      </c>
      <c r="G78" s="6"/>
      <c r="H78" s="6"/>
      <c r="I78" s="6">
        <v>2</v>
      </c>
      <c r="J78" s="6"/>
      <c r="K78" s="177">
        <f t="shared" si="3"/>
        <v>2.25</v>
      </c>
      <c r="L78" s="181">
        <f t="shared" si="4"/>
        <v>2</v>
      </c>
      <c r="M78" s="185">
        <f t="shared" si="5"/>
        <v>0.88888888888888884</v>
      </c>
    </row>
    <row r="79" spans="1:13" x14ac:dyDescent="0.25">
      <c r="A79" s="130" t="s">
        <v>112</v>
      </c>
      <c r="B79" s="130"/>
      <c r="C79" s="130"/>
      <c r="D79" s="6">
        <v>56</v>
      </c>
      <c r="E79" s="6">
        <v>247.25</v>
      </c>
      <c r="F79" s="6">
        <v>239.5</v>
      </c>
      <c r="G79" s="6">
        <v>100</v>
      </c>
      <c r="H79" s="6">
        <v>98.25</v>
      </c>
      <c r="I79" s="6">
        <v>191</v>
      </c>
      <c r="J79" s="6">
        <v>89</v>
      </c>
      <c r="K79" s="177">
        <f t="shared" si="3"/>
        <v>1.2539267015706805</v>
      </c>
      <c r="L79" s="181">
        <f t="shared" si="4"/>
        <v>7.75</v>
      </c>
      <c r="M79" s="185">
        <f t="shared" si="5"/>
        <v>6.1805845511482289</v>
      </c>
    </row>
    <row r="80" spans="1:13" x14ac:dyDescent="0.25">
      <c r="A80" s="130" t="s">
        <v>113</v>
      </c>
      <c r="B80" s="130"/>
      <c r="C80" s="130"/>
      <c r="D80" s="6" t="s">
        <v>114</v>
      </c>
      <c r="E80" s="6"/>
      <c r="F80" s="6"/>
      <c r="G80" s="6"/>
      <c r="H80" s="6"/>
      <c r="I80" s="6"/>
      <c r="J80" s="6"/>
      <c r="K80" s="177"/>
      <c r="L80" s="46"/>
      <c r="M80" s="185"/>
    </row>
    <row r="81" spans="1:13" x14ac:dyDescent="0.25">
      <c r="A81" s="130" t="s">
        <v>115</v>
      </c>
      <c r="B81" s="130"/>
      <c r="C81" s="130"/>
      <c r="D81" s="6">
        <v>57</v>
      </c>
      <c r="E81" s="6">
        <v>145</v>
      </c>
      <c r="F81" s="6">
        <v>141</v>
      </c>
      <c r="G81" s="6">
        <v>112.5</v>
      </c>
      <c r="H81" s="6">
        <v>109.75</v>
      </c>
      <c r="I81" s="6">
        <v>126</v>
      </c>
      <c r="J81" s="6">
        <v>99</v>
      </c>
      <c r="K81" s="177">
        <f t="shared" si="3"/>
        <v>1.1190476190476191</v>
      </c>
      <c r="L81" s="46">
        <f t="shared" si="4"/>
        <v>4</v>
      </c>
      <c r="M81" s="185">
        <f t="shared" si="5"/>
        <v>3.574468085106389</v>
      </c>
    </row>
    <row r="82" spans="1:13" x14ac:dyDescent="0.25">
      <c r="A82" s="130" t="s">
        <v>116</v>
      </c>
      <c r="B82" s="130"/>
      <c r="C82" s="130"/>
      <c r="D82" s="6" t="s">
        <v>117</v>
      </c>
      <c r="E82" s="6">
        <v>82</v>
      </c>
      <c r="F82" s="6">
        <v>79.25</v>
      </c>
      <c r="G82" s="6">
        <v>82</v>
      </c>
      <c r="H82" s="6">
        <v>79.25</v>
      </c>
      <c r="I82" s="6">
        <v>76</v>
      </c>
      <c r="J82" s="6">
        <v>76</v>
      </c>
      <c r="K82" s="177">
        <f t="shared" si="3"/>
        <v>1.0427631578947369</v>
      </c>
      <c r="L82" s="46">
        <f t="shared" si="4"/>
        <v>2.75</v>
      </c>
      <c r="M82" s="185">
        <f t="shared" si="5"/>
        <v>2.6372239747634012</v>
      </c>
    </row>
    <row r="83" spans="1:13" x14ac:dyDescent="0.25">
      <c r="A83" s="130" t="s">
        <v>118</v>
      </c>
      <c r="B83" s="130"/>
      <c r="C83" s="130"/>
      <c r="D83" s="6">
        <v>58</v>
      </c>
      <c r="E83" s="6">
        <v>76.5</v>
      </c>
      <c r="F83" s="6">
        <v>65</v>
      </c>
      <c r="G83" s="6"/>
      <c r="H83" s="6"/>
      <c r="I83" s="6">
        <v>49</v>
      </c>
      <c r="J83" s="6"/>
      <c r="K83" s="177">
        <f t="shared" si="3"/>
        <v>1.3265306122448979</v>
      </c>
      <c r="L83" s="46">
        <f t="shared" si="4"/>
        <v>11.5</v>
      </c>
      <c r="M83" s="185">
        <f t="shared" si="5"/>
        <v>8.6692307692307722</v>
      </c>
    </row>
    <row r="84" spans="1:13" x14ac:dyDescent="0.25">
      <c r="A84" s="130" t="s">
        <v>119</v>
      </c>
      <c r="B84" s="130"/>
      <c r="C84" s="130"/>
      <c r="D84" s="6">
        <v>59</v>
      </c>
      <c r="E84" s="6">
        <v>26.25</v>
      </c>
      <c r="F84" s="6">
        <v>19</v>
      </c>
      <c r="G84" s="6">
        <v>23</v>
      </c>
      <c r="H84" s="6">
        <v>16</v>
      </c>
      <c r="I84" s="6">
        <v>19</v>
      </c>
      <c r="J84" s="6">
        <v>17</v>
      </c>
      <c r="K84" s="177">
        <f t="shared" si="3"/>
        <v>1</v>
      </c>
      <c r="L84" s="46">
        <f t="shared" si="4"/>
        <v>7.25</v>
      </c>
      <c r="M84" s="185">
        <f t="shared" si="5"/>
        <v>7.25</v>
      </c>
    </row>
    <row r="85" spans="1:13" x14ac:dyDescent="0.25">
      <c r="A85" s="130" t="s">
        <v>120</v>
      </c>
      <c r="B85" s="130"/>
      <c r="C85" s="130"/>
      <c r="D85" s="6">
        <v>60</v>
      </c>
      <c r="E85" s="6">
        <v>3.5</v>
      </c>
      <c r="F85" s="6">
        <v>3.5</v>
      </c>
      <c r="G85" s="6">
        <v>3</v>
      </c>
      <c r="H85" s="6">
        <v>3</v>
      </c>
      <c r="I85" s="6">
        <v>1</v>
      </c>
      <c r="J85" s="6">
        <v>1</v>
      </c>
      <c r="K85" s="177">
        <f t="shared" si="3"/>
        <v>3.5</v>
      </c>
      <c r="L85" s="46"/>
      <c r="M85" s="185"/>
    </row>
    <row r="86" spans="1:13" x14ac:dyDescent="0.25">
      <c r="A86" s="130" t="s">
        <v>121</v>
      </c>
      <c r="B86" s="130"/>
      <c r="C86" s="130"/>
      <c r="D86" s="6">
        <v>61</v>
      </c>
      <c r="E86" s="6">
        <v>36</v>
      </c>
      <c r="F86" s="6">
        <v>33</v>
      </c>
      <c r="G86" s="6">
        <v>29</v>
      </c>
      <c r="H86" s="6">
        <v>26</v>
      </c>
      <c r="I86" s="6">
        <v>29</v>
      </c>
      <c r="J86" s="6">
        <v>21</v>
      </c>
      <c r="K86" s="177">
        <f t="shared" si="3"/>
        <v>1.1379310344827587</v>
      </c>
      <c r="L86" s="46">
        <f t="shared" si="4"/>
        <v>3</v>
      </c>
      <c r="M86" s="185">
        <f t="shared" si="5"/>
        <v>2.6363636363636331</v>
      </c>
    </row>
    <row r="87" spans="1:13" x14ac:dyDescent="0.25">
      <c r="A87" s="130" t="s">
        <v>122</v>
      </c>
      <c r="B87" s="130"/>
      <c r="C87" s="130"/>
      <c r="D87" s="6">
        <v>62</v>
      </c>
      <c r="E87" s="6">
        <v>7.5</v>
      </c>
      <c r="F87" s="6">
        <v>7</v>
      </c>
      <c r="G87" s="6">
        <v>4</v>
      </c>
      <c r="H87" s="6">
        <v>3.5</v>
      </c>
      <c r="I87" s="6">
        <v>5</v>
      </c>
      <c r="J87" s="6">
        <v>3</v>
      </c>
      <c r="K87" s="177">
        <f t="shared" si="3"/>
        <v>1.4</v>
      </c>
      <c r="L87" s="46">
        <f t="shared" si="4"/>
        <v>0.5</v>
      </c>
      <c r="M87" s="185">
        <f t="shared" si="5"/>
        <v>0.35714285714285765</v>
      </c>
    </row>
    <row r="88" spans="1:13" x14ac:dyDescent="0.25">
      <c r="A88" s="130" t="s">
        <v>123</v>
      </c>
      <c r="B88" s="130"/>
      <c r="C88" s="130"/>
      <c r="D88" s="6" t="s">
        <v>124</v>
      </c>
      <c r="E88" s="6"/>
      <c r="F88" s="6"/>
      <c r="G88" s="6"/>
      <c r="H88" s="6"/>
      <c r="I88" s="6"/>
      <c r="J88" s="6"/>
      <c r="K88" s="177"/>
      <c r="L88" s="46"/>
      <c r="M88" s="185"/>
    </row>
    <row r="89" spans="1:13" x14ac:dyDescent="0.25">
      <c r="A89" s="130" t="s">
        <v>125</v>
      </c>
      <c r="B89" s="130"/>
      <c r="C89" s="130"/>
      <c r="D89" s="6">
        <v>63</v>
      </c>
      <c r="E89" s="6">
        <v>20</v>
      </c>
      <c r="F89" s="6">
        <v>19</v>
      </c>
      <c r="G89" s="6">
        <v>18.5</v>
      </c>
      <c r="H89" s="6">
        <v>18</v>
      </c>
      <c r="I89" s="6">
        <v>16</v>
      </c>
      <c r="J89" s="6">
        <v>16</v>
      </c>
      <c r="K89" s="177">
        <f t="shared" si="3"/>
        <v>1.1875</v>
      </c>
      <c r="L89" s="46">
        <f t="shared" si="4"/>
        <v>1</v>
      </c>
      <c r="M89" s="185">
        <f t="shared" si="5"/>
        <v>0.8421052631578938</v>
      </c>
    </row>
    <row r="90" spans="1:13" x14ac:dyDescent="0.25">
      <c r="A90" s="130" t="s">
        <v>126</v>
      </c>
      <c r="B90" s="130"/>
      <c r="C90" s="130"/>
      <c r="D90" s="6">
        <v>64</v>
      </c>
      <c r="E90" s="6">
        <v>11.75</v>
      </c>
      <c r="F90" s="6">
        <v>11.75</v>
      </c>
      <c r="G90" s="6">
        <v>11.75</v>
      </c>
      <c r="H90" s="6">
        <v>11.75</v>
      </c>
      <c r="I90" s="6">
        <v>11</v>
      </c>
      <c r="J90" s="6">
        <v>11</v>
      </c>
      <c r="K90" s="177">
        <f t="shared" si="3"/>
        <v>1.0681818181818181</v>
      </c>
      <c r="L90" s="46"/>
      <c r="M90" s="185"/>
    </row>
    <row r="91" spans="1:13" x14ac:dyDescent="0.25">
      <c r="A91" s="130" t="s">
        <v>127</v>
      </c>
      <c r="B91" s="130"/>
      <c r="C91" s="130"/>
      <c r="D91" s="6">
        <v>65</v>
      </c>
      <c r="E91" s="6">
        <v>81</v>
      </c>
      <c r="F91" s="6">
        <v>76.5</v>
      </c>
      <c r="G91" s="6">
        <v>34.5</v>
      </c>
      <c r="H91" s="6">
        <v>31.25</v>
      </c>
      <c r="I91" s="6">
        <v>61</v>
      </c>
      <c r="J91" s="6">
        <v>30</v>
      </c>
      <c r="K91" s="177">
        <f t="shared" si="3"/>
        <v>1.2540983606557377</v>
      </c>
      <c r="L91" s="46">
        <f t="shared" si="4"/>
        <v>4.5</v>
      </c>
      <c r="M91" s="185">
        <f t="shared" si="5"/>
        <v>3.5882352941176521</v>
      </c>
    </row>
    <row r="92" spans="1:13" x14ac:dyDescent="0.25">
      <c r="A92" s="130" t="s">
        <v>128</v>
      </c>
      <c r="B92" s="130"/>
      <c r="C92" s="130"/>
      <c r="D92" s="6">
        <v>66</v>
      </c>
      <c r="E92" s="6">
        <v>31</v>
      </c>
      <c r="F92" s="6">
        <v>29</v>
      </c>
      <c r="G92" s="6">
        <v>14.25</v>
      </c>
      <c r="H92" s="6">
        <v>14.25</v>
      </c>
      <c r="I92" s="6">
        <v>28</v>
      </c>
      <c r="J92" s="6">
        <v>14</v>
      </c>
      <c r="K92" s="177">
        <f t="shared" si="3"/>
        <v>1.0357142857142858</v>
      </c>
      <c r="L92" s="46">
        <f t="shared" si="4"/>
        <v>2</v>
      </c>
      <c r="M92" s="185">
        <f t="shared" si="5"/>
        <v>1.9310344827586192</v>
      </c>
    </row>
    <row r="93" spans="1:13" x14ac:dyDescent="0.25">
      <c r="A93" s="130" t="s">
        <v>129</v>
      </c>
      <c r="B93" s="130"/>
      <c r="C93" s="130"/>
      <c r="D93" s="6">
        <v>67</v>
      </c>
      <c r="E93" s="6">
        <v>104</v>
      </c>
      <c r="F93" s="6">
        <v>100.75</v>
      </c>
      <c r="G93" s="6">
        <v>44.5</v>
      </c>
      <c r="H93" s="6">
        <v>44.5</v>
      </c>
      <c r="I93" s="6">
        <v>67</v>
      </c>
      <c r="J93" s="6">
        <v>27</v>
      </c>
      <c r="K93" s="177">
        <f t="shared" si="3"/>
        <v>1.5037313432835822</v>
      </c>
      <c r="L93" s="46">
        <f t="shared" si="4"/>
        <v>3.25</v>
      </c>
      <c r="M93" s="185">
        <f t="shared" si="5"/>
        <v>2.1612903225806406</v>
      </c>
    </row>
    <row r="94" spans="1:13" x14ac:dyDescent="0.25">
      <c r="A94" s="130" t="s">
        <v>130</v>
      </c>
      <c r="B94" s="130"/>
      <c r="C94" s="130"/>
      <c r="D94" s="6" t="s">
        <v>131</v>
      </c>
      <c r="E94" s="6">
        <v>59</v>
      </c>
      <c r="F94" s="6">
        <v>58</v>
      </c>
      <c r="G94" s="6">
        <v>22</v>
      </c>
      <c r="H94" s="6">
        <v>22</v>
      </c>
      <c r="I94" s="6">
        <v>38</v>
      </c>
      <c r="J94" s="6">
        <v>10</v>
      </c>
      <c r="K94" s="177">
        <f t="shared" si="3"/>
        <v>1.5263157894736843</v>
      </c>
      <c r="L94" s="46">
        <f t="shared" si="4"/>
        <v>1</v>
      </c>
      <c r="M94" s="185">
        <f t="shared" si="5"/>
        <v>0.6551724137931032</v>
      </c>
    </row>
    <row r="95" spans="1:13" x14ac:dyDescent="0.25">
      <c r="A95" s="130" t="s">
        <v>132</v>
      </c>
      <c r="B95" s="130"/>
      <c r="C95" s="130"/>
      <c r="D95" s="6" t="s">
        <v>133</v>
      </c>
      <c r="E95" s="6">
        <v>11.25</v>
      </c>
      <c r="F95" s="6">
        <v>10.25</v>
      </c>
      <c r="G95" s="6">
        <v>1.5</v>
      </c>
      <c r="H95" s="6">
        <v>1.5</v>
      </c>
      <c r="I95" s="6">
        <v>3</v>
      </c>
      <c r="J95" s="6">
        <v>1</v>
      </c>
      <c r="K95" s="177">
        <f t="shared" si="3"/>
        <v>3.4166666666666665</v>
      </c>
      <c r="L95" s="46">
        <f t="shared" si="4"/>
        <v>1</v>
      </c>
      <c r="M95" s="185">
        <f t="shared" si="5"/>
        <v>0.29268292682926855</v>
      </c>
    </row>
    <row r="96" spans="1:13" x14ac:dyDescent="0.25">
      <c r="A96" s="130" t="s">
        <v>134</v>
      </c>
      <c r="B96" s="130"/>
      <c r="C96" s="130"/>
      <c r="D96" s="6" t="s">
        <v>135</v>
      </c>
      <c r="E96" s="6"/>
      <c r="F96" s="6"/>
      <c r="G96" s="6"/>
      <c r="H96" s="6"/>
      <c r="I96" s="6"/>
      <c r="J96" s="6"/>
      <c r="K96" s="177"/>
      <c r="L96" s="46"/>
      <c r="M96" s="185"/>
    </row>
    <row r="97" spans="1:13" x14ac:dyDescent="0.25">
      <c r="A97" s="130" t="s">
        <v>136</v>
      </c>
      <c r="B97" s="130"/>
      <c r="C97" s="130"/>
      <c r="D97" s="6" t="s">
        <v>137</v>
      </c>
      <c r="E97" s="6"/>
      <c r="F97" s="6"/>
      <c r="G97" s="6"/>
      <c r="H97" s="6"/>
      <c r="I97" s="6"/>
      <c r="J97" s="6"/>
      <c r="K97" s="177"/>
      <c r="L97" s="46"/>
      <c r="M97" s="185"/>
    </row>
    <row r="98" spans="1:13" x14ac:dyDescent="0.25">
      <c r="A98" s="130" t="s">
        <v>138</v>
      </c>
      <c r="B98" s="130"/>
      <c r="C98" s="130"/>
      <c r="D98" s="6" t="s">
        <v>139</v>
      </c>
      <c r="E98" s="6"/>
      <c r="F98" s="6"/>
      <c r="G98" s="6"/>
      <c r="H98" s="6"/>
      <c r="I98" s="6"/>
      <c r="J98" s="6"/>
      <c r="K98" s="177"/>
      <c r="L98" s="46"/>
      <c r="M98" s="185"/>
    </row>
    <row r="99" spans="1:13" x14ac:dyDescent="0.25">
      <c r="A99" s="130" t="s">
        <v>140</v>
      </c>
      <c r="B99" s="130"/>
      <c r="C99" s="130"/>
      <c r="D99" s="6" t="s">
        <v>141</v>
      </c>
      <c r="E99" s="6"/>
      <c r="F99" s="6"/>
      <c r="G99" s="6"/>
      <c r="H99" s="6"/>
      <c r="I99" s="6"/>
      <c r="J99" s="6"/>
      <c r="K99" s="177"/>
      <c r="L99" s="46"/>
      <c r="M99" s="185"/>
    </row>
    <row r="100" spans="1:13" x14ac:dyDescent="0.25">
      <c r="A100" s="130" t="s">
        <v>142</v>
      </c>
      <c r="B100" s="130"/>
      <c r="C100" s="130"/>
      <c r="D100" s="6" t="s">
        <v>143</v>
      </c>
      <c r="E100" s="6">
        <v>33.75</v>
      </c>
      <c r="F100" s="6">
        <v>32.5</v>
      </c>
      <c r="G100" s="6">
        <v>21</v>
      </c>
      <c r="H100" s="6">
        <v>21</v>
      </c>
      <c r="I100" s="6">
        <v>26</v>
      </c>
      <c r="J100" s="6">
        <v>16</v>
      </c>
      <c r="K100" s="177">
        <f t="shared" si="3"/>
        <v>1.25</v>
      </c>
      <c r="L100" s="46">
        <f t="shared" si="4"/>
        <v>1.25</v>
      </c>
      <c r="M100" s="185">
        <f t="shared" si="5"/>
        <v>1</v>
      </c>
    </row>
    <row r="101" spans="1:13" x14ac:dyDescent="0.25">
      <c r="A101" s="130" t="s">
        <v>144</v>
      </c>
      <c r="B101" s="130"/>
      <c r="C101" s="130"/>
      <c r="D101" s="6">
        <v>68</v>
      </c>
      <c r="E101" s="6">
        <v>5</v>
      </c>
      <c r="F101" s="6">
        <v>3</v>
      </c>
      <c r="G101" s="6"/>
      <c r="H101" s="6"/>
      <c r="I101" s="6">
        <v>3</v>
      </c>
      <c r="J101" s="6"/>
      <c r="K101" s="177">
        <f t="shared" si="3"/>
        <v>1</v>
      </c>
      <c r="L101" s="46">
        <f t="shared" si="4"/>
        <v>2</v>
      </c>
      <c r="M101" s="185">
        <f t="shared" si="5"/>
        <v>2</v>
      </c>
    </row>
    <row r="102" spans="1:13" x14ac:dyDescent="0.25">
      <c r="A102" s="130" t="s">
        <v>145</v>
      </c>
      <c r="B102" s="130"/>
      <c r="C102" s="130"/>
      <c r="D102" s="6" t="s">
        <v>146</v>
      </c>
      <c r="E102" s="6">
        <v>1</v>
      </c>
      <c r="F102" s="6"/>
      <c r="G102" s="6"/>
      <c r="H102" s="6"/>
      <c r="I102" s="6"/>
      <c r="J102" s="6"/>
      <c r="K102" s="177"/>
      <c r="L102" s="46"/>
      <c r="M102" s="185"/>
    </row>
    <row r="103" spans="1:13" x14ac:dyDescent="0.25">
      <c r="A103" s="130" t="s">
        <v>147</v>
      </c>
      <c r="B103" s="130"/>
      <c r="C103" s="130"/>
      <c r="D103" s="6" t="s">
        <v>148</v>
      </c>
      <c r="E103" s="6"/>
      <c r="F103" s="6"/>
      <c r="G103" s="6"/>
      <c r="H103" s="6"/>
      <c r="I103" s="6"/>
      <c r="J103" s="6"/>
      <c r="K103" s="177"/>
      <c r="L103" s="46"/>
      <c r="M103" s="185"/>
    </row>
    <row r="104" spans="1:13" x14ac:dyDescent="0.25">
      <c r="A104" s="130" t="s">
        <v>149</v>
      </c>
      <c r="B104" s="130"/>
      <c r="C104" s="130"/>
      <c r="D104" s="6" t="s">
        <v>150</v>
      </c>
      <c r="E104" s="6"/>
      <c r="F104" s="6"/>
      <c r="G104" s="6"/>
      <c r="H104" s="6"/>
      <c r="I104" s="6"/>
      <c r="J104" s="6"/>
      <c r="K104" s="177"/>
      <c r="L104" s="46"/>
      <c r="M104" s="185"/>
    </row>
    <row r="105" spans="1:13" x14ac:dyDescent="0.25">
      <c r="A105" s="130" t="s">
        <v>151</v>
      </c>
      <c r="B105" s="130"/>
      <c r="C105" s="130"/>
      <c r="D105" s="6" t="s">
        <v>152</v>
      </c>
      <c r="E105" s="6"/>
      <c r="F105" s="6"/>
      <c r="G105" s="6"/>
      <c r="H105" s="6"/>
      <c r="I105" s="6"/>
      <c r="J105" s="6"/>
      <c r="K105" s="177"/>
      <c r="L105" s="46"/>
      <c r="M105" s="185"/>
    </row>
    <row r="106" spans="1:13" x14ac:dyDescent="0.25">
      <c r="A106" s="130" t="s">
        <v>153</v>
      </c>
      <c r="B106" s="130"/>
      <c r="C106" s="130"/>
      <c r="D106" s="6" t="s">
        <v>154</v>
      </c>
      <c r="E106" s="6"/>
      <c r="F106" s="6"/>
      <c r="G106" s="6"/>
      <c r="H106" s="6"/>
      <c r="I106" s="6"/>
      <c r="J106" s="6"/>
      <c r="K106" s="177"/>
      <c r="L106" s="46"/>
      <c r="M106" s="185"/>
    </row>
    <row r="107" spans="1:13" x14ac:dyDescent="0.25">
      <c r="A107" s="130" t="s">
        <v>155</v>
      </c>
      <c r="B107" s="130"/>
      <c r="C107" s="130"/>
      <c r="D107" s="6" t="s">
        <v>156</v>
      </c>
      <c r="E107" s="6">
        <v>4</v>
      </c>
      <c r="F107" s="6">
        <v>3</v>
      </c>
      <c r="G107" s="6"/>
      <c r="H107" s="6"/>
      <c r="I107" s="6">
        <v>3</v>
      </c>
      <c r="J107" s="6"/>
      <c r="K107" s="177">
        <f t="shared" si="3"/>
        <v>1</v>
      </c>
      <c r="L107" s="46">
        <f t="shared" si="4"/>
        <v>1</v>
      </c>
      <c r="M107" s="185">
        <f t="shared" si="5"/>
        <v>1</v>
      </c>
    </row>
    <row r="108" spans="1:13" x14ac:dyDescent="0.25">
      <c r="A108" s="130" t="s">
        <v>157</v>
      </c>
      <c r="B108" s="130"/>
      <c r="C108" s="130"/>
      <c r="D108" s="6">
        <v>69</v>
      </c>
      <c r="E108" s="6">
        <v>8.5</v>
      </c>
      <c r="F108" s="6">
        <v>7</v>
      </c>
      <c r="G108" s="6">
        <v>8.5</v>
      </c>
      <c r="H108" s="6">
        <v>7</v>
      </c>
      <c r="I108" s="6">
        <v>6</v>
      </c>
      <c r="J108" s="6">
        <v>6</v>
      </c>
      <c r="K108" s="177">
        <f t="shared" si="3"/>
        <v>1.1666666666666667</v>
      </c>
      <c r="L108" s="46">
        <f t="shared" si="4"/>
        <v>1.5</v>
      </c>
      <c r="M108" s="185">
        <f t="shared" si="5"/>
        <v>1.2857142857142856</v>
      </c>
    </row>
    <row r="109" spans="1:13" x14ac:dyDescent="0.25">
      <c r="A109" s="130" t="s">
        <v>158</v>
      </c>
      <c r="B109" s="130"/>
      <c r="C109" s="130"/>
      <c r="D109" s="6">
        <v>70</v>
      </c>
      <c r="E109" s="6">
        <v>0.5</v>
      </c>
      <c r="F109" s="6">
        <v>0.5</v>
      </c>
      <c r="G109" s="6">
        <v>0.5</v>
      </c>
      <c r="H109" s="6">
        <v>0.5</v>
      </c>
      <c r="I109" s="6">
        <v>1</v>
      </c>
      <c r="J109" s="6">
        <v>1</v>
      </c>
      <c r="K109" s="177"/>
      <c r="L109" s="46"/>
      <c r="M109" s="185"/>
    </row>
    <row r="110" spans="1:13" x14ac:dyDescent="0.25">
      <c r="A110" s="130" t="s">
        <v>159</v>
      </c>
      <c r="B110" s="130"/>
      <c r="C110" s="130"/>
      <c r="D110" s="6">
        <v>71</v>
      </c>
      <c r="E110" s="6"/>
      <c r="F110" s="6"/>
      <c r="G110" s="6"/>
      <c r="H110" s="6"/>
      <c r="I110" s="6"/>
      <c r="J110" s="6"/>
      <c r="K110" s="177"/>
      <c r="L110" s="46"/>
      <c r="M110" s="185"/>
    </row>
    <row r="111" spans="1:13" x14ac:dyDescent="0.25">
      <c r="A111" s="130" t="s">
        <v>160</v>
      </c>
      <c r="B111" s="130"/>
      <c r="C111" s="130"/>
      <c r="D111" s="6">
        <v>72</v>
      </c>
      <c r="E111" s="6">
        <v>3</v>
      </c>
      <c r="F111" s="6">
        <v>1</v>
      </c>
      <c r="G111" s="6"/>
      <c r="H111" s="6"/>
      <c r="I111" s="6">
        <v>1</v>
      </c>
      <c r="J111" s="6"/>
      <c r="K111" s="177">
        <f t="shared" si="3"/>
        <v>1</v>
      </c>
      <c r="L111" s="46">
        <f t="shared" si="4"/>
        <v>2</v>
      </c>
      <c r="M111" s="185">
        <f t="shared" si="5"/>
        <v>2</v>
      </c>
    </row>
    <row r="112" spans="1:13" x14ac:dyDescent="0.25">
      <c r="A112" s="130" t="s">
        <v>161</v>
      </c>
      <c r="B112" s="130"/>
      <c r="C112" s="130"/>
      <c r="D112" s="6">
        <v>73</v>
      </c>
      <c r="E112" s="6"/>
      <c r="F112" s="6"/>
      <c r="G112" s="6"/>
      <c r="H112" s="6"/>
      <c r="I112" s="6"/>
      <c r="J112" s="6"/>
      <c r="K112" s="177"/>
      <c r="L112" s="46"/>
      <c r="M112" s="185"/>
    </row>
    <row r="113" spans="1:13" x14ac:dyDescent="0.25">
      <c r="A113" s="130" t="s">
        <v>162</v>
      </c>
      <c r="B113" s="130"/>
      <c r="C113" s="130"/>
      <c r="D113" s="6">
        <v>74</v>
      </c>
      <c r="E113" s="6">
        <v>48.5</v>
      </c>
      <c r="F113" s="6">
        <v>46</v>
      </c>
      <c r="G113" s="6">
        <v>26</v>
      </c>
      <c r="H113" s="6">
        <v>25.5</v>
      </c>
      <c r="I113" s="6">
        <v>41</v>
      </c>
      <c r="J113" s="6">
        <v>24</v>
      </c>
      <c r="K113" s="177">
        <f t="shared" si="3"/>
        <v>1.1219512195121952</v>
      </c>
      <c r="L113" s="46">
        <f t="shared" si="4"/>
        <v>2.5</v>
      </c>
      <c r="M113" s="185">
        <f t="shared" si="5"/>
        <v>2.2282608695652115</v>
      </c>
    </row>
    <row r="114" spans="1:13" x14ac:dyDescent="0.25">
      <c r="A114" s="130" t="s">
        <v>163</v>
      </c>
      <c r="B114" s="130"/>
      <c r="C114" s="130"/>
      <c r="D114" s="6" t="s">
        <v>164</v>
      </c>
      <c r="E114" s="6">
        <v>38.75</v>
      </c>
      <c r="F114" s="6">
        <v>36.25</v>
      </c>
      <c r="G114" s="6">
        <v>22</v>
      </c>
      <c r="H114" s="6">
        <v>21.5</v>
      </c>
      <c r="I114" s="6">
        <v>33</v>
      </c>
      <c r="J114" s="6">
        <v>21</v>
      </c>
      <c r="K114" s="177">
        <f t="shared" si="3"/>
        <v>1.0984848484848484</v>
      </c>
      <c r="L114" s="46">
        <f t="shared" si="4"/>
        <v>2.5</v>
      </c>
      <c r="M114" s="185">
        <f t="shared" si="5"/>
        <v>2.2758620689655231</v>
      </c>
    </row>
    <row r="115" spans="1:13" x14ac:dyDescent="0.25">
      <c r="A115" s="130" t="s">
        <v>165</v>
      </c>
      <c r="B115" s="130"/>
      <c r="C115" s="130"/>
      <c r="D115" s="6" t="s">
        <v>166</v>
      </c>
      <c r="E115" s="6">
        <v>8.75</v>
      </c>
      <c r="F115" s="6">
        <v>8.75</v>
      </c>
      <c r="G115" s="6">
        <v>4</v>
      </c>
      <c r="H115" s="6">
        <v>4</v>
      </c>
      <c r="I115" s="6">
        <v>6</v>
      </c>
      <c r="J115" s="6">
        <v>3</v>
      </c>
      <c r="K115" s="177">
        <f t="shared" si="3"/>
        <v>1.4583333333333333</v>
      </c>
      <c r="L115" s="46"/>
      <c r="M115" s="185"/>
    </row>
    <row r="116" spans="1:13" x14ac:dyDescent="0.25">
      <c r="A116" s="130" t="s">
        <v>167</v>
      </c>
      <c r="B116" s="130"/>
      <c r="C116" s="130"/>
      <c r="D116" s="6" t="s">
        <v>168</v>
      </c>
      <c r="E116" s="6"/>
      <c r="F116" s="6"/>
      <c r="G116" s="6"/>
      <c r="H116" s="6"/>
      <c r="I116" s="6"/>
      <c r="J116" s="6"/>
      <c r="K116" s="177"/>
      <c r="L116" s="46"/>
      <c r="M116" s="185"/>
    </row>
    <row r="117" spans="1:13" x14ac:dyDescent="0.25">
      <c r="A117" s="130" t="s">
        <v>169</v>
      </c>
      <c r="B117" s="130"/>
      <c r="C117" s="130"/>
      <c r="D117" s="6" t="s">
        <v>170</v>
      </c>
      <c r="E117" s="6"/>
      <c r="F117" s="6"/>
      <c r="G117" s="6"/>
      <c r="H117" s="6"/>
      <c r="I117" s="6"/>
      <c r="J117" s="6"/>
      <c r="K117" s="177"/>
      <c r="L117" s="46"/>
      <c r="M117" s="185"/>
    </row>
    <row r="118" spans="1:13" x14ac:dyDescent="0.25">
      <c r="A118" s="130" t="s">
        <v>171</v>
      </c>
      <c r="B118" s="130"/>
      <c r="C118" s="130"/>
      <c r="D118" s="6">
        <v>75</v>
      </c>
      <c r="E118" s="6">
        <v>122.25</v>
      </c>
      <c r="F118" s="6">
        <v>116.25</v>
      </c>
      <c r="G118" s="6">
        <v>24</v>
      </c>
      <c r="H118" s="6">
        <v>23</v>
      </c>
      <c r="I118" s="6">
        <v>81</v>
      </c>
      <c r="J118" s="6">
        <v>22</v>
      </c>
      <c r="K118" s="177">
        <f t="shared" si="3"/>
        <v>1.4351851851851851</v>
      </c>
      <c r="L118" s="46">
        <f t="shared" si="4"/>
        <v>6</v>
      </c>
      <c r="M118" s="185">
        <f t="shared" si="5"/>
        <v>4.1806451612903288</v>
      </c>
    </row>
    <row r="119" spans="1:13" x14ac:dyDescent="0.25">
      <c r="A119" s="130" t="s">
        <v>172</v>
      </c>
      <c r="B119" s="130"/>
      <c r="C119" s="130"/>
      <c r="D119" s="6" t="s">
        <v>173</v>
      </c>
      <c r="E119" s="6">
        <v>12</v>
      </c>
      <c r="F119" s="6">
        <v>9</v>
      </c>
      <c r="G119" s="6">
        <v>3</v>
      </c>
      <c r="H119" s="6">
        <v>3</v>
      </c>
      <c r="I119" s="6">
        <v>4</v>
      </c>
      <c r="J119" s="6">
        <v>2</v>
      </c>
      <c r="K119" s="177">
        <f t="shared" si="3"/>
        <v>2.25</v>
      </c>
      <c r="L119" s="46">
        <f t="shared" si="4"/>
        <v>3</v>
      </c>
      <c r="M119" s="185">
        <f t="shared" si="5"/>
        <v>1.333333333333333</v>
      </c>
    </row>
    <row r="120" spans="1:13" x14ac:dyDescent="0.25">
      <c r="A120" s="130" t="s">
        <v>174</v>
      </c>
      <c r="B120" s="130"/>
      <c r="C120" s="130"/>
      <c r="D120" s="6">
        <v>76</v>
      </c>
      <c r="E120" s="6">
        <v>6</v>
      </c>
      <c r="F120" s="6">
        <v>6</v>
      </c>
      <c r="G120" s="6">
        <v>6</v>
      </c>
      <c r="H120" s="6">
        <v>6</v>
      </c>
      <c r="I120" s="6">
        <v>5</v>
      </c>
      <c r="J120" s="6">
        <v>5</v>
      </c>
      <c r="K120" s="177">
        <f t="shared" si="3"/>
        <v>1.2</v>
      </c>
      <c r="L120" s="46"/>
      <c r="M120" s="185"/>
    </row>
    <row r="121" spans="1:13" x14ac:dyDescent="0.25">
      <c r="A121" s="130" t="s">
        <v>175</v>
      </c>
      <c r="B121" s="130"/>
      <c r="C121" s="130"/>
      <c r="D121" s="6">
        <v>77</v>
      </c>
      <c r="E121" s="6">
        <v>125.5</v>
      </c>
      <c r="F121" s="6">
        <v>117</v>
      </c>
      <c r="G121" s="6">
        <v>67</v>
      </c>
      <c r="H121" s="6">
        <v>62.5</v>
      </c>
      <c r="I121" s="6">
        <v>106</v>
      </c>
      <c r="J121" s="6">
        <v>58</v>
      </c>
      <c r="K121" s="177">
        <f t="shared" si="3"/>
        <v>1.1037735849056605</v>
      </c>
      <c r="L121" s="46">
        <f t="shared" si="4"/>
        <v>8.5</v>
      </c>
      <c r="M121" s="185">
        <f t="shared" si="5"/>
        <v>7.7008547008546913</v>
      </c>
    </row>
    <row r="122" spans="1:13" x14ac:dyDescent="0.25">
      <c r="A122" s="130" t="s">
        <v>176</v>
      </c>
      <c r="B122" s="130"/>
      <c r="C122" s="130"/>
      <c r="D122" s="6" t="s">
        <v>177</v>
      </c>
      <c r="E122" s="6">
        <v>13.25</v>
      </c>
      <c r="F122" s="6">
        <v>12.5</v>
      </c>
      <c r="G122" s="6">
        <v>12</v>
      </c>
      <c r="H122" s="6">
        <v>11.25</v>
      </c>
      <c r="I122" s="6">
        <v>13</v>
      </c>
      <c r="J122" s="6">
        <v>12</v>
      </c>
      <c r="K122" s="177">
        <f t="shared" si="3"/>
        <v>0.96153846153846156</v>
      </c>
      <c r="L122" s="46">
        <f t="shared" si="4"/>
        <v>0.75</v>
      </c>
      <c r="M122" s="185">
        <f t="shared" si="5"/>
        <v>0.77999999999999936</v>
      </c>
    </row>
    <row r="123" spans="1:13" x14ac:dyDescent="0.25">
      <c r="A123" s="130" t="s">
        <v>178</v>
      </c>
      <c r="B123" s="130"/>
      <c r="C123" s="130"/>
      <c r="D123" s="6" t="s">
        <v>179</v>
      </c>
      <c r="E123" s="6">
        <v>51.75</v>
      </c>
      <c r="F123" s="6">
        <v>51.75</v>
      </c>
      <c r="G123" s="6">
        <v>24.5</v>
      </c>
      <c r="H123" s="6">
        <v>24.5</v>
      </c>
      <c r="I123" s="6">
        <v>46</v>
      </c>
      <c r="J123" s="6">
        <v>22</v>
      </c>
      <c r="K123" s="177">
        <f t="shared" si="3"/>
        <v>1.125</v>
      </c>
      <c r="L123" s="46"/>
      <c r="M123" s="185"/>
    </row>
    <row r="124" spans="1:13" x14ac:dyDescent="0.25">
      <c r="A124" s="130" t="s">
        <v>180</v>
      </c>
      <c r="B124" s="130"/>
      <c r="C124" s="130"/>
      <c r="D124" s="6" t="s">
        <v>181</v>
      </c>
      <c r="E124" s="6">
        <v>4.75</v>
      </c>
      <c r="F124" s="6">
        <v>4.25</v>
      </c>
      <c r="G124" s="6">
        <v>1.5</v>
      </c>
      <c r="H124" s="6">
        <v>1</v>
      </c>
      <c r="I124" s="6">
        <v>3</v>
      </c>
      <c r="J124" s="6"/>
      <c r="K124" s="177">
        <f t="shared" si="3"/>
        <v>1.4166666666666667</v>
      </c>
      <c r="L124" s="46">
        <f t="shared" si="4"/>
        <v>0.5</v>
      </c>
      <c r="M124" s="185">
        <f t="shared" si="5"/>
        <v>0.35294117647058787</v>
      </c>
    </row>
    <row r="125" spans="1:13" x14ac:dyDescent="0.25">
      <c r="A125" s="130" t="s">
        <v>182</v>
      </c>
      <c r="B125" s="130"/>
      <c r="C125" s="130"/>
      <c r="D125" s="6" t="s">
        <v>183</v>
      </c>
      <c r="E125" s="6">
        <v>42.75</v>
      </c>
      <c r="F125" s="6">
        <v>36.5</v>
      </c>
      <c r="G125" s="6">
        <v>22</v>
      </c>
      <c r="H125" s="6">
        <v>19.75</v>
      </c>
      <c r="I125" s="6">
        <v>34</v>
      </c>
      <c r="J125" s="6">
        <v>17</v>
      </c>
      <c r="K125" s="177">
        <f t="shared" si="3"/>
        <v>1.0735294117647058</v>
      </c>
      <c r="L125" s="46">
        <f t="shared" si="4"/>
        <v>6.25</v>
      </c>
      <c r="M125" s="185">
        <f t="shared" si="5"/>
        <v>5.821917808219176</v>
      </c>
    </row>
    <row r="126" spans="1:13" x14ac:dyDescent="0.25">
      <c r="A126" s="139" t="s">
        <v>184</v>
      </c>
      <c r="B126" s="139"/>
      <c r="C126" s="139"/>
      <c r="D126" s="6">
        <v>78</v>
      </c>
      <c r="E126" s="6">
        <v>1.5</v>
      </c>
      <c r="F126" s="6"/>
      <c r="G126" s="6">
        <v>0.5</v>
      </c>
      <c r="H126" s="6"/>
      <c r="I126" s="6"/>
      <c r="J126" s="6"/>
      <c r="K126" s="177"/>
      <c r="L126" s="46">
        <f t="shared" si="4"/>
        <v>1.5</v>
      </c>
      <c r="M126" s="185"/>
    </row>
    <row r="127" spans="1:13" x14ac:dyDescent="0.25">
      <c r="A127" s="130" t="s">
        <v>185</v>
      </c>
      <c r="B127" s="130"/>
      <c r="C127" s="130"/>
      <c r="D127" s="6">
        <v>79</v>
      </c>
      <c r="E127" s="6">
        <v>173.25</v>
      </c>
      <c r="F127" s="6">
        <v>159.25</v>
      </c>
      <c r="G127" s="6">
        <v>72.75</v>
      </c>
      <c r="H127" s="6">
        <v>69.75</v>
      </c>
      <c r="I127" s="6">
        <v>124</v>
      </c>
      <c r="J127" s="6">
        <v>61</v>
      </c>
      <c r="K127" s="177">
        <f t="shared" si="3"/>
        <v>1.284274193548387</v>
      </c>
      <c r="L127" s="46">
        <f t="shared" si="4"/>
        <v>14</v>
      </c>
      <c r="M127" s="185">
        <f t="shared" si="5"/>
        <v>10.901098901098919</v>
      </c>
    </row>
    <row r="128" spans="1:13" x14ac:dyDescent="0.25">
      <c r="A128" s="130" t="s">
        <v>186</v>
      </c>
      <c r="B128" s="130"/>
      <c r="C128" s="130"/>
      <c r="D128" s="6" t="s">
        <v>187</v>
      </c>
      <c r="E128" s="6">
        <v>94.75</v>
      </c>
      <c r="F128" s="6">
        <v>89.25</v>
      </c>
      <c r="G128" s="6">
        <v>44</v>
      </c>
      <c r="H128" s="6">
        <v>42.5</v>
      </c>
      <c r="I128" s="6">
        <v>68</v>
      </c>
      <c r="J128" s="6">
        <v>36</v>
      </c>
      <c r="K128" s="177">
        <f t="shared" si="3"/>
        <v>1.3125</v>
      </c>
      <c r="L128" s="46">
        <f t="shared" si="4"/>
        <v>5.5</v>
      </c>
      <c r="M128" s="185">
        <f t="shared" si="5"/>
        <v>4.1904761904761898</v>
      </c>
    </row>
    <row r="129" spans="1:13" x14ac:dyDescent="0.25">
      <c r="A129" s="130" t="s">
        <v>188</v>
      </c>
      <c r="B129" s="130"/>
      <c r="C129" s="130"/>
      <c r="D129" s="6" t="s">
        <v>189</v>
      </c>
      <c r="E129" s="6">
        <v>55.75</v>
      </c>
      <c r="F129" s="6">
        <v>51.5</v>
      </c>
      <c r="G129" s="6">
        <v>25.75</v>
      </c>
      <c r="H129" s="6">
        <v>24.25</v>
      </c>
      <c r="I129" s="6">
        <v>39</v>
      </c>
      <c r="J129" s="6">
        <v>22</v>
      </c>
      <c r="K129" s="177">
        <f t="shared" si="3"/>
        <v>1.3205128205128205</v>
      </c>
      <c r="L129" s="46">
        <f t="shared" si="4"/>
        <v>4.25</v>
      </c>
      <c r="M129" s="185">
        <f t="shared" si="5"/>
        <v>3.2184466019417499</v>
      </c>
    </row>
    <row r="130" spans="1:13" x14ac:dyDescent="0.25">
      <c r="A130" s="75" t="s">
        <v>190</v>
      </c>
      <c r="B130" s="75"/>
      <c r="C130" s="75"/>
      <c r="D130" s="98" t="s">
        <v>191</v>
      </c>
      <c r="E130" s="98">
        <v>18.75</v>
      </c>
      <c r="F130" s="98">
        <v>14.5</v>
      </c>
      <c r="G130" s="98"/>
      <c r="H130" s="98"/>
      <c r="I130" s="98">
        <v>12</v>
      </c>
      <c r="J130" s="98"/>
      <c r="K130" s="177">
        <f t="shared" si="3"/>
        <v>1.2083333333333333</v>
      </c>
      <c r="L130" s="46">
        <f t="shared" si="4"/>
        <v>4.25</v>
      </c>
      <c r="M130" s="185">
        <f t="shared" si="5"/>
        <v>3.5172413793103452</v>
      </c>
    </row>
    <row r="131" spans="1:13" x14ac:dyDescent="0.25">
      <c r="A131" s="75"/>
      <c r="B131" s="75"/>
      <c r="C131" s="75"/>
      <c r="D131" s="98"/>
      <c r="E131" s="98"/>
      <c r="F131" s="98"/>
      <c r="G131" s="98"/>
      <c r="H131" s="98"/>
      <c r="I131" s="98"/>
      <c r="J131" s="98"/>
      <c r="K131" s="177"/>
      <c r="L131" s="46"/>
      <c r="M131" s="185"/>
    </row>
    <row r="132" spans="1:13" x14ac:dyDescent="0.25">
      <c r="A132" s="130" t="s">
        <v>192</v>
      </c>
      <c r="B132" s="130"/>
      <c r="C132" s="130"/>
      <c r="D132" s="6" t="s">
        <v>193</v>
      </c>
      <c r="E132" s="6"/>
      <c r="F132" s="6"/>
      <c r="G132" s="6"/>
      <c r="H132" s="6"/>
      <c r="I132" s="6"/>
      <c r="J132" s="6"/>
      <c r="K132" s="177"/>
      <c r="L132" s="46"/>
      <c r="M132" s="185"/>
    </row>
    <row r="133" spans="1:13" x14ac:dyDescent="0.25">
      <c r="A133" s="130" t="s">
        <v>194</v>
      </c>
      <c r="B133" s="130"/>
      <c r="C133" s="130"/>
      <c r="D133" s="6">
        <v>80</v>
      </c>
      <c r="E133" s="6">
        <v>378.25</v>
      </c>
      <c r="F133" s="6">
        <v>370.5</v>
      </c>
      <c r="G133" s="6">
        <v>378.25</v>
      </c>
      <c r="H133" s="6">
        <v>370.5</v>
      </c>
      <c r="I133" s="6">
        <v>345</v>
      </c>
      <c r="J133" s="6">
        <v>345</v>
      </c>
      <c r="K133" s="177">
        <f t="shared" si="3"/>
        <v>1.0739130434782609</v>
      </c>
      <c r="L133" s="46">
        <f t="shared" si="4"/>
        <v>7.75</v>
      </c>
      <c r="M133" s="185">
        <f t="shared" si="5"/>
        <v>7.2165991902833753</v>
      </c>
    </row>
    <row r="134" spans="1:13" x14ac:dyDescent="0.25">
      <c r="A134" s="130" t="s">
        <v>195</v>
      </c>
      <c r="B134" s="130"/>
      <c r="C134" s="130"/>
      <c r="D134" s="6">
        <v>81</v>
      </c>
      <c r="E134" s="6"/>
      <c r="F134" s="6"/>
      <c r="G134" s="6"/>
      <c r="H134" s="6"/>
      <c r="I134" s="6"/>
      <c r="J134" s="6"/>
      <c r="K134" s="177"/>
      <c r="L134" s="46"/>
      <c r="M134" s="185"/>
    </row>
    <row r="135" spans="1:13" x14ac:dyDescent="0.25">
      <c r="A135" s="139" t="s">
        <v>196</v>
      </c>
      <c r="B135" s="139"/>
      <c r="C135" s="139"/>
      <c r="D135" s="6">
        <v>82</v>
      </c>
      <c r="E135" s="6">
        <v>16</v>
      </c>
      <c r="F135" s="6">
        <v>8.5</v>
      </c>
      <c r="G135" s="6">
        <v>6.5</v>
      </c>
      <c r="H135" s="6">
        <v>3.5</v>
      </c>
      <c r="I135" s="6">
        <v>7</v>
      </c>
      <c r="J135" s="6">
        <v>4</v>
      </c>
      <c r="K135" s="177">
        <f t="shared" ref="K135:K162" si="6">F135/I135</f>
        <v>1.2142857142857142</v>
      </c>
      <c r="L135" s="46">
        <f t="shared" ref="L135:L162" si="7">E135-F135</f>
        <v>7.5</v>
      </c>
      <c r="M135" s="185">
        <f t="shared" ref="M135:M162" si="8">E135/K135-I135</f>
        <v>6.1764705882352953</v>
      </c>
    </row>
    <row r="136" spans="1:13" x14ac:dyDescent="0.25">
      <c r="A136" s="130" t="s">
        <v>197</v>
      </c>
      <c r="B136" s="130"/>
      <c r="C136" s="130"/>
      <c r="D136" s="6">
        <v>83</v>
      </c>
      <c r="E136" s="6">
        <v>782.75</v>
      </c>
      <c r="F136" s="6">
        <v>741.75</v>
      </c>
      <c r="G136" s="6">
        <v>344</v>
      </c>
      <c r="H136" s="6">
        <v>329.25</v>
      </c>
      <c r="I136" s="6">
        <v>656</v>
      </c>
      <c r="J136" s="6">
        <v>302</v>
      </c>
      <c r="K136" s="177">
        <f t="shared" si="6"/>
        <v>1.1307164634146341</v>
      </c>
      <c r="L136" s="46">
        <f t="shared" si="7"/>
        <v>41</v>
      </c>
      <c r="M136" s="185">
        <f t="shared" si="8"/>
        <v>36.260195483653547</v>
      </c>
    </row>
    <row r="137" spans="1:13" x14ac:dyDescent="0.25">
      <c r="A137" s="130" t="s">
        <v>198</v>
      </c>
      <c r="B137" s="130"/>
      <c r="C137" s="130"/>
      <c r="D137" s="6" t="s">
        <v>199</v>
      </c>
      <c r="E137" s="6">
        <v>38.25</v>
      </c>
      <c r="F137" s="6">
        <v>38.25</v>
      </c>
      <c r="G137" s="6">
        <v>36.25</v>
      </c>
      <c r="H137" s="6">
        <v>36.25</v>
      </c>
      <c r="I137" s="6">
        <v>38</v>
      </c>
      <c r="J137" s="6">
        <v>36</v>
      </c>
      <c r="K137" s="177">
        <f t="shared" si="6"/>
        <v>1.006578947368421</v>
      </c>
      <c r="L137" s="46"/>
      <c r="M137" s="185"/>
    </row>
    <row r="138" spans="1:13" x14ac:dyDescent="0.25">
      <c r="A138" s="130" t="s">
        <v>200</v>
      </c>
      <c r="B138" s="130"/>
      <c r="C138" s="130"/>
      <c r="D138" s="6" t="s">
        <v>201</v>
      </c>
      <c r="E138" s="6">
        <v>86.25</v>
      </c>
      <c r="F138" s="6">
        <v>84</v>
      </c>
      <c r="G138" s="6">
        <v>65</v>
      </c>
      <c r="H138" s="6">
        <v>62.75</v>
      </c>
      <c r="I138" s="6">
        <v>75</v>
      </c>
      <c r="J138" s="6">
        <v>60</v>
      </c>
      <c r="K138" s="177">
        <f t="shared" si="6"/>
        <v>1.1200000000000001</v>
      </c>
      <c r="L138" s="46">
        <f t="shared" si="7"/>
        <v>2.25</v>
      </c>
      <c r="M138" s="185">
        <f t="shared" si="8"/>
        <v>2.0089285714285694</v>
      </c>
    </row>
    <row r="139" spans="1:13" x14ac:dyDescent="0.25">
      <c r="A139" s="140" t="s">
        <v>202</v>
      </c>
      <c r="B139" s="140"/>
      <c r="C139" s="140"/>
      <c r="D139" s="55">
        <v>84</v>
      </c>
      <c r="E139" s="55">
        <v>5846</v>
      </c>
      <c r="F139" s="55">
        <v>5693.75</v>
      </c>
      <c r="G139" s="55">
        <v>3114.75</v>
      </c>
      <c r="H139" s="55">
        <v>3031.75</v>
      </c>
      <c r="I139" s="55">
        <v>5280</v>
      </c>
      <c r="J139" s="55">
        <v>2861</v>
      </c>
      <c r="K139" s="177">
        <f t="shared" si="6"/>
        <v>1.0783617424242424</v>
      </c>
      <c r="L139" s="61">
        <f t="shared" si="7"/>
        <v>152.25</v>
      </c>
      <c r="M139" s="185">
        <f t="shared" si="8"/>
        <v>141.18638858397389</v>
      </c>
    </row>
    <row r="140" spans="1:13" x14ac:dyDescent="0.25">
      <c r="A140" s="130" t="s">
        <v>203</v>
      </c>
      <c r="B140" s="130"/>
      <c r="C140" s="130"/>
      <c r="D140" s="6">
        <v>85</v>
      </c>
      <c r="E140" s="6">
        <v>3441.5</v>
      </c>
      <c r="F140" s="6">
        <v>3334.5</v>
      </c>
      <c r="G140" s="6">
        <v>1274.25</v>
      </c>
      <c r="H140" s="6">
        <v>1232.5</v>
      </c>
      <c r="I140" s="6">
        <v>3051</v>
      </c>
      <c r="J140" s="6">
        <v>1132</v>
      </c>
      <c r="K140" s="177">
        <f t="shared" si="6"/>
        <v>1.0929203539823009</v>
      </c>
      <c r="L140" s="46">
        <f t="shared" si="7"/>
        <v>107</v>
      </c>
      <c r="M140" s="185">
        <f t="shared" si="8"/>
        <v>97.902834008097216</v>
      </c>
    </row>
    <row r="141" spans="1:13" x14ac:dyDescent="0.25">
      <c r="A141" s="130" t="s">
        <v>204</v>
      </c>
      <c r="B141" s="130"/>
      <c r="C141" s="130"/>
      <c r="D141" s="6">
        <v>86</v>
      </c>
      <c r="E141" s="6">
        <v>215</v>
      </c>
      <c r="F141" s="6">
        <v>213.5</v>
      </c>
      <c r="G141" s="6">
        <v>215</v>
      </c>
      <c r="H141" s="6">
        <v>213.5</v>
      </c>
      <c r="I141" s="6">
        <v>211</v>
      </c>
      <c r="J141" s="6">
        <v>211</v>
      </c>
      <c r="K141" s="177">
        <f t="shared" si="6"/>
        <v>1.0118483412322274</v>
      </c>
      <c r="L141" s="46">
        <f t="shared" si="7"/>
        <v>1.5</v>
      </c>
      <c r="M141" s="185">
        <f t="shared" si="8"/>
        <v>1.4824355971896921</v>
      </c>
    </row>
    <row r="142" spans="1:13" x14ac:dyDescent="0.25">
      <c r="A142" s="130" t="s">
        <v>205</v>
      </c>
      <c r="B142" s="130"/>
      <c r="C142" s="130"/>
      <c r="D142" s="6" t="s">
        <v>206</v>
      </c>
      <c r="E142" s="6">
        <v>47</v>
      </c>
      <c r="F142" s="6">
        <v>45.5</v>
      </c>
      <c r="G142" s="6">
        <v>47</v>
      </c>
      <c r="H142" s="6">
        <v>45.5</v>
      </c>
      <c r="I142" s="6">
        <v>45</v>
      </c>
      <c r="J142" s="6">
        <v>45</v>
      </c>
      <c r="K142" s="177">
        <f t="shared" si="6"/>
        <v>1.0111111111111111</v>
      </c>
      <c r="L142" s="46">
        <f t="shared" si="7"/>
        <v>1.5</v>
      </c>
      <c r="M142" s="185">
        <f t="shared" si="8"/>
        <v>1.4835164835164818</v>
      </c>
    </row>
    <row r="143" spans="1:13" x14ac:dyDescent="0.25">
      <c r="A143" s="98" t="s">
        <v>207</v>
      </c>
      <c r="B143" s="98"/>
      <c r="C143" s="98"/>
      <c r="D143" s="6" t="s">
        <v>208</v>
      </c>
      <c r="E143" s="6">
        <v>120</v>
      </c>
      <c r="F143" s="6">
        <v>120</v>
      </c>
      <c r="G143" s="6">
        <v>120</v>
      </c>
      <c r="H143" s="6">
        <v>120</v>
      </c>
      <c r="I143" s="6">
        <v>118</v>
      </c>
      <c r="J143" s="6">
        <v>118</v>
      </c>
      <c r="K143" s="177">
        <f t="shared" si="6"/>
        <v>1.0169491525423728</v>
      </c>
      <c r="L143" s="46"/>
      <c r="M143" s="185"/>
    </row>
    <row r="144" spans="1:13" x14ac:dyDescent="0.25">
      <c r="A144" s="130" t="s">
        <v>209</v>
      </c>
      <c r="B144" s="130"/>
      <c r="C144" s="130"/>
      <c r="D144" s="6">
        <v>87</v>
      </c>
      <c r="E144" s="6">
        <v>1051.5</v>
      </c>
      <c r="F144" s="6">
        <v>1022.5</v>
      </c>
      <c r="G144" s="6">
        <v>1051.5</v>
      </c>
      <c r="H144" s="6">
        <v>1022.5</v>
      </c>
      <c r="I144" s="6">
        <v>996</v>
      </c>
      <c r="J144" s="6">
        <v>996</v>
      </c>
      <c r="K144" s="177">
        <f t="shared" si="6"/>
        <v>1.0266064257028114</v>
      </c>
      <c r="L144" s="46">
        <f t="shared" si="7"/>
        <v>29</v>
      </c>
      <c r="M144" s="185">
        <f t="shared" si="8"/>
        <v>28.248410757946203</v>
      </c>
    </row>
    <row r="145" spans="1:13" x14ac:dyDescent="0.25">
      <c r="A145" s="130" t="s">
        <v>210</v>
      </c>
      <c r="B145" s="130"/>
      <c r="C145" s="130"/>
      <c r="D145" s="6">
        <v>88</v>
      </c>
      <c r="E145" s="6">
        <v>10.5</v>
      </c>
      <c r="F145" s="6">
        <v>10.5</v>
      </c>
      <c r="G145" s="6">
        <v>10</v>
      </c>
      <c r="H145" s="6">
        <v>10</v>
      </c>
      <c r="I145" s="6">
        <v>10</v>
      </c>
      <c r="J145" s="6">
        <v>10</v>
      </c>
      <c r="K145" s="177">
        <f t="shared" si="6"/>
        <v>1.05</v>
      </c>
      <c r="L145" s="46"/>
      <c r="M145" s="185"/>
    </row>
    <row r="146" spans="1:13" x14ac:dyDescent="0.25">
      <c r="A146" s="138" t="s">
        <v>211</v>
      </c>
      <c r="B146" s="138"/>
      <c r="C146" s="138"/>
      <c r="D146" s="6">
        <v>89</v>
      </c>
      <c r="E146" s="6">
        <v>44.75</v>
      </c>
      <c r="F146" s="6">
        <v>43.75</v>
      </c>
      <c r="G146" s="6">
        <v>20.25</v>
      </c>
      <c r="H146" s="6">
        <v>20.25</v>
      </c>
      <c r="I146" s="6">
        <v>42</v>
      </c>
      <c r="J146" s="6">
        <v>20</v>
      </c>
      <c r="K146" s="177">
        <f t="shared" si="6"/>
        <v>1.0416666666666667</v>
      </c>
      <c r="L146" s="46">
        <f t="shared" si="7"/>
        <v>1</v>
      </c>
      <c r="M146" s="185">
        <f t="shared" si="8"/>
        <v>0.95999999999999375</v>
      </c>
    </row>
    <row r="147" spans="1:13" x14ac:dyDescent="0.25">
      <c r="A147" s="138" t="s">
        <v>212</v>
      </c>
      <c r="B147" s="138"/>
      <c r="C147" s="138"/>
      <c r="D147" s="6">
        <v>90</v>
      </c>
      <c r="E147" s="6">
        <v>348</v>
      </c>
      <c r="F147" s="6">
        <v>346.25</v>
      </c>
      <c r="G147" s="6">
        <v>108.25</v>
      </c>
      <c r="H147" s="6">
        <v>107.5</v>
      </c>
      <c r="I147" s="6">
        <v>310</v>
      </c>
      <c r="J147" s="6">
        <v>97</v>
      </c>
      <c r="K147" s="177">
        <f t="shared" si="6"/>
        <v>1.1169354838709677</v>
      </c>
      <c r="L147" s="46">
        <f t="shared" si="7"/>
        <v>1.75</v>
      </c>
      <c r="M147" s="185">
        <f t="shared" si="8"/>
        <v>1.5667870036101021</v>
      </c>
    </row>
    <row r="148" spans="1:13" x14ac:dyDescent="0.25">
      <c r="A148" s="130" t="s">
        <v>213</v>
      </c>
      <c r="B148" s="130"/>
      <c r="C148" s="130"/>
      <c r="D148" s="6">
        <v>91</v>
      </c>
      <c r="E148" s="6">
        <v>13.5</v>
      </c>
      <c r="F148" s="6">
        <v>11</v>
      </c>
      <c r="G148" s="6">
        <v>13.5</v>
      </c>
      <c r="H148" s="6">
        <v>11</v>
      </c>
      <c r="I148" s="6">
        <v>10</v>
      </c>
      <c r="J148" s="6">
        <v>10</v>
      </c>
      <c r="K148" s="177">
        <f t="shared" si="6"/>
        <v>1.1000000000000001</v>
      </c>
      <c r="L148" s="46">
        <f t="shared" si="7"/>
        <v>2.5</v>
      </c>
      <c r="M148" s="185">
        <f t="shared" si="8"/>
        <v>2.2727272727272716</v>
      </c>
    </row>
    <row r="149" spans="1:13" x14ac:dyDescent="0.25">
      <c r="A149" s="130" t="s">
        <v>214</v>
      </c>
      <c r="B149" s="130"/>
      <c r="C149" s="130"/>
      <c r="D149" s="6">
        <v>92</v>
      </c>
      <c r="E149" s="6">
        <v>179.75</v>
      </c>
      <c r="F149" s="6">
        <v>176.75</v>
      </c>
      <c r="G149" s="6">
        <v>143.75</v>
      </c>
      <c r="H149" s="6">
        <v>140.75</v>
      </c>
      <c r="I149" s="6">
        <v>163</v>
      </c>
      <c r="J149" s="6">
        <v>126</v>
      </c>
      <c r="K149" s="177">
        <f t="shared" si="6"/>
        <v>1.084355828220859</v>
      </c>
      <c r="L149" s="46">
        <f t="shared" si="7"/>
        <v>3</v>
      </c>
      <c r="M149" s="185">
        <f t="shared" si="8"/>
        <v>2.7666195190947462</v>
      </c>
    </row>
    <row r="150" spans="1:13" x14ac:dyDescent="0.25">
      <c r="A150" s="130" t="s">
        <v>215</v>
      </c>
      <c r="B150" s="130"/>
      <c r="C150" s="130"/>
      <c r="D150" s="6">
        <v>93</v>
      </c>
      <c r="E150" s="6">
        <v>20.5</v>
      </c>
      <c r="F150" s="6">
        <v>20.5</v>
      </c>
      <c r="G150" s="6">
        <v>20.5</v>
      </c>
      <c r="H150" s="6">
        <v>20.5</v>
      </c>
      <c r="I150" s="6">
        <v>16</v>
      </c>
      <c r="J150" s="6">
        <v>16</v>
      </c>
      <c r="K150" s="177">
        <f t="shared" si="6"/>
        <v>1.28125</v>
      </c>
      <c r="L150" s="46"/>
      <c r="M150" s="185"/>
    </row>
    <row r="151" spans="1:13" x14ac:dyDescent="0.25">
      <c r="A151" s="130" t="s">
        <v>216</v>
      </c>
      <c r="B151" s="130"/>
      <c r="C151" s="130"/>
      <c r="D151" s="6">
        <v>94</v>
      </c>
      <c r="E151" s="6">
        <v>128</v>
      </c>
      <c r="F151" s="6">
        <v>128</v>
      </c>
      <c r="G151" s="6">
        <v>50.25</v>
      </c>
      <c r="H151" s="6">
        <v>50.25</v>
      </c>
      <c r="I151" s="6">
        <v>110</v>
      </c>
      <c r="J151" s="6">
        <v>50</v>
      </c>
      <c r="K151" s="177">
        <f t="shared" si="6"/>
        <v>1.1636363636363636</v>
      </c>
      <c r="L151" s="46"/>
      <c r="M151" s="185"/>
    </row>
    <row r="152" spans="1:13" x14ac:dyDescent="0.25">
      <c r="A152" s="130" t="s">
        <v>217</v>
      </c>
      <c r="B152" s="130"/>
      <c r="C152" s="130"/>
      <c r="D152" s="6">
        <v>95</v>
      </c>
      <c r="E152" s="6">
        <v>6</v>
      </c>
      <c r="F152" s="6">
        <v>5</v>
      </c>
      <c r="G152" s="6">
        <v>6</v>
      </c>
      <c r="H152" s="6">
        <v>5</v>
      </c>
      <c r="I152" s="6">
        <v>5</v>
      </c>
      <c r="J152" s="6">
        <v>5</v>
      </c>
      <c r="K152" s="177">
        <f t="shared" si="6"/>
        <v>1</v>
      </c>
      <c r="L152" s="46">
        <f t="shared" si="7"/>
        <v>1</v>
      </c>
      <c r="M152" s="185">
        <f t="shared" si="8"/>
        <v>1</v>
      </c>
    </row>
    <row r="153" spans="1:13" x14ac:dyDescent="0.25">
      <c r="A153" s="130" t="s">
        <v>218</v>
      </c>
      <c r="B153" s="130"/>
      <c r="C153" s="130"/>
      <c r="D153" s="6">
        <v>96</v>
      </c>
      <c r="E153" s="6">
        <v>1.5</v>
      </c>
      <c r="F153" s="6">
        <v>1.5</v>
      </c>
      <c r="G153" s="6">
        <v>1.5</v>
      </c>
      <c r="H153" s="6">
        <v>1.5</v>
      </c>
      <c r="I153" s="6">
        <v>1</v>
      </c>
      <c r="J153" s="6">
        <v>1</v>
      </c>
      <c r="K153" s="177">
        <f t="shared" si="6"/>
        <v>1.5</v>
      </c>
      <c r="L153" s="46"/>
      <c r="M153" s="185"/>
    </row>
    <row r="154" spans="1:13" x14ac:dyDescent="0.25">
      <c r="A154" s="130" t="s">
        <v>219</v>
      </c>
      <c r="B154" s="130"/>
      <c r="C154" s="130"/>
      <c r="D154" s="6">
        <v>97</v>
      </c>
      <c r="E154" s="6">
        <v>265.25</v>
      </c>
      <c r="F154" s="6">
        <v>262.75</v>
      </c>
      <c r="G154" s="6">
        <v>127</v>
      </c>
      <c r="H154" s="6">
        <v>124.5</v>
      </c>
      <c r="I154" s="6">
        <v>251</v>
      </c>
      <c r="J154" s="6">
        <v>123</v>
      </c>
      <c r="K154" s="177">
        <f t="shared" si="6"/>
        <v>1.046812749003984</v>
      </c>
      <c r="L154" s="46">
        <f t="shared" si="7"/>
        <v>2.5</v>
      </c>
      <c r="M154" s="185">
        <f t="shared" si="8"/>
        <v>2.3882017126546202</v>
      </c>
    </row>
    <row r="155" spans="1:13" x14ac:dyDescent="0.25">
      <c r="A155" s="130" t="s">
        <v>220</v>
      </c>
      <c r="B155" s="130"/>
      <c r="C155" s="130"/>
      <c r="D155" s="6">
        <v>98</v>
      </c>
      <c r="E155" s="6">
        <v>14</v>
      </c>
      <c r="F155" s="6">
        <v>14</v>
      </c>
      <c r="G155" s="6"/>
      <c r="H155" s="6"/>
      <c r="I155" s="6">
        <v>10</v>
      </c>
      <c r="J155" s="6"/>
      <c r="K155" s="177">
        <f t="shared" si="6"/>
        <v>1.4</v>
      </c>
      <c r="L155" s="46"/>
      <c r="M155" s="185"/>
    </row>
    <row r="156" spans="1:13" x14ac:dyDescent="0.25">
      <c r="A156" s="130" t="s">
        <v>221</v>
      </c>
      <c r="B156" s="130"/>
      <c r="C156" s="130"/>
      <c r="D156" s="6">
        <v>99</v>
      </c>
      <c r="E156" s="6">
        <v>106.25</v>
      </c>
      <c r="F156" s="6">
        <v>103.25</v>
      </c>
      <c r="G156" s="6">
        <v>73</v>
      </c>
      <c r="H156" s="6">
        <v>72</v>
      </c>
      <c r="I156" s="6">
        <v>94</v>
      </c>
      <c r="J156" s="6">
        <v>64</v>
      </c>
      <c r="K156" s="177">
        <f t="shared" si="6"/>
        <v>1.0984042553191489</v>
      </c>
      <c r="L156" s="46">
        <f t="shared" si="7"/>
        <v>3</v>
      </c>
      <c r="M156" s="185">
        <f t="shared" si="8"/>
        <v>2.731234866828089</v>
      </c>
    </row>
    <row r="157" spans="1:13" x14ac:dyDescent="0.25">
      <c r="A157" s="130" t="s">
        <v>222</v>
      </c>
      <c r="B157" s="130"/>
      <c r="C157" s="130"/>
      <c r="D157" s="6">
        <v>100</v>
      </c>
      <c r="E157" s="6">
        <v>48.5</v>
      </c>
      <c r="F157" s="6">
        <v>48.5</v>
      </c>
      <c r="G157" s="6">
        <v>17.5</v>
      </c>
      <c r="H157" s="6">
        <v>17.5</v>
      </c>
      <c r="I157" s="6">
        <v>43</v>
      </c>
      <c r="J157" s="6">
        <v>16</v>
      </c>
      <c r="K157" s="177">
        <f t="shared" si="6"/>
        <v>1.1279069767441861</v>
      </c>
      <c r="L157" s="46"/>
      <c r="M157" s="185"/>
    </row>
    <row r="158" spans="1:13" x14ac:dyDescent="0.25">
      <c r="A158" s="130" t="s">
        <v>223</v>
      </c>
      <c r="B158" s="130"/>
      <c r="C158" s="130"/>
      <c r="D158" s="6">
        <v>101</v>
      </c>
      <c r="E158" s="6">
        <v>28</v>
      </c>
      <c r="F158" s="6">
        <v>26</v>
      </c>
      <c r="G158" s="6">
        <v>17</v>
      </c>
      <c r="H158" s="6">
        <v>17</v>
      </c>
      <c r="I158" s="6">
        <v>25</v>
      </c>
      <c r="J158" s="6">
        <v>15</v>
      </c>
      <c r="K158" s="177">
        <f t="shared" si="6"/>
        <v>1.04</v>
      </c>
      <c r="L158" s="46">
        <f t="shared" si="7"/>
        <v>2</v>
      </c>
      <c r="M158" s="185">
        <f t="shared" si="8"/>
        <v>1.9230769230769234</v>
      </c>
    </row>
    <row r="159" spans="1:13" x14ac:dyDescent="0.25">
      <c r="A159" s="130" t="s">
        <v>224</v>
      </c>
      <c r="B159" s="130"/>
      <c r="C159" s="130"/>
      <c r="D159" s="6">
        <v>102</v>
      </c>
      <c r="E159" s="6">
        <v>2404.25</v>
      </c>
      <c r="F159" s="6">
        <v>2349.75</v>
      </c>
      <c r="G159" s="6">
        <v>449</v>
      </c>
      <c r="H159" s="6">
        <v>424.5</v>
      </c>
      <c r="I159" s="6">
        <v>2091</v>
      </c>
      <c r="J159" s="6">
        <v>387</v>
      </c>
      <c r="K159" s="177">
        <f t="shared" si="6"/>
        <v>1.1237446197991392</v>
      </c>
      <c r="L159" s="46">
        <f t="shared" si="7"/>
        <v>54.5</v>
      </c>
      <c r="M159" s="185">
        <f t="shared" si="8"/>
        <v>48.498563676987033</v>
      </c>
    </row>
    <row r="160" spans="1:13" x14ac:dyDescent="0.25">
      <c r="A160" s="130" t="s">
        <v>225</v>
      </c>
      <c r="B160" s="130"/>
      <c r="C160" s="130"/>
      <c r="D160" s="6">
        <v>103</v>
      </c>
      <c r="E160" s="6">
        <v>1010.5</v>
      </c>
      <c r="F160" s="6">
        <v>979</v>
      </c>
      <c r="G160" s="6">
        <v>450.5</v>
      </c>
      <c r="H160" s="6">
        <v>438</v>
      </c>
      <c r="I160" s="6">
        <v>852</v>
      </c>
      <c r="J160" s="6">
        <v>397</v>
      </c>
      <c r="K160" s="177">
        <f t="shared" si="6"/>
        <v>1.1490610328638498</v>
      </c>
      <c r="L160" s="46">
        <f t="shared" si="7"/>
        <v>31.5</v>
      </c>
      <c r="M160" s="185">
        <f t="shared" si="8"/>
        <v>27.413687436159307</v>
      </c>
    </row>
    <row r="161" spans="1:13" x14ac:dyDescent="0.25">
      <c r="A161" s="130" t="s">
        <v>198</v>
      </c>
      <c r="B161" s="130"/>
      <c r="C161" s="130"/>
      <c r="D161" s="6" t="s">
        <v>226</v>
      </c>
      <c r="E161" s="6">
        <v>21.25</v>
      </c>
      <c r="F161" s="6">
        <v>21.25</v>
      </c>
      <c r="G161" s="6">
        <v>21.25</v>
      </c>
      <c r="H161" s="6">
        <v>21.25</v>
      </c>
      <c r="I161" s="6">
        <v>21</v>
      </c>
      <c r="J161" s="6">
        <v>21</v>
      </c>
      <c r="K161" s="177">
        <f t="shared" si="6"/>
        <v>1.0119047619047619</v>
      </c>
      <c r="L161" s="46"/>
      <c r="M161" s="185"/>
    </row>
    <row r="162" spans="1:13" x14ac:dyDescent="0.25">
      <c r="A162" s="130" t="s">
        <v>227</v>
      </c>
      <c r="B162" s="130"/>
      <c r="C162" s="130"/>
      <c r="D162" s="6">
        <v>104</v>
      </c>
      <c r="E162" s="6">
        <v>13099.75</v>
      </c>
      <c r="F162" s="6">
        <v>12590.5</v>
      </c>
      <c r="G162" s="6">
        <v>5911.75</v>
      </c>
      <c r="H162" s="6">
        <v>5685.25</v>
      </c>
      <c r="I162" s="6">
        <v>11225</v>
      </c>
      <c r="J162" s="6">
        <v>5285</v>
      </c>
      <c r="K162" s="177">
        <f t="shared" si="6"/>
        <v>1.1216481069042317</v>
      </c>
      <c r="L162" s="46">
        <f t="shared" si="7"/>
        <v>509.25</v>
      </c>
      <c r="M162" s="185">
        <f t="shared" si="8"/>
        <v>454.01939954727641</v>
      </c>
    </row>
  </sheetData>
  <mergeCells count="193">
    <mergeCell ref="B1:I1"/>
    <mergeCell ref="A2:C3"/>
    <mergeCell ref="D2:D3"/>
    <mergeCell ref="E2:F2"/>
    <mergeCell ref="G2:H2"/>
    <mergeCell ref="I2:J2"/>
    <mergeCell ref="F7:F8"/>
    <mergeCell ref="G7:G8"/>
    <mergeCell ref="H7:H8"/>
    <mergeCell ref="I7:I8"/>
    <mergeCell ref="J7:J8"/>
    <mergeCell ref="A9:C9"/>
    <mergeCell ref="A4:C4"/>
    <mergeCell ref="A5:C5"/>
    <mergeCell ref="A6:C6"/>
    <mergeCell ref="A7:C8"/>
    <mergeCell ref="D7:D8"/>
    <mergeCell ref="E7:E8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G36:G37"/>
    <mergeCell ref="H36:H37"/>
    <mergeCell ref="I36:I37"/>
    <mergeCell ref="J36:J37"/>
    <mergeCell ref="A37:C37"/>
    <mergeCell ref="A38:C38"/>
    <mergeCell ref="A34:C34"/>
    <mergeCell ref="A35:C35"/>
    <mergeCell ref="A36:C36"/>
    <mergeCell ref="D36:D37"/>
    <mergeCell ref="E36:E37"/>
    <mergeCell ref="F36:F37"/>
    <mergeCell ref="A45:C45"/>
    <mergeCell ref="A46:C46"/>
    <mergeCell ref="A47:C47"/>
    <mergeCell ref="A48:C48"/>
    <mergeCell ref="A49:C49"/>
    <mergeCell ref="A50:C50"/>
    <mergeCell ref="A39:C39"/>
    <mergeCell ref="A40:C40"/>
    <mergeCell ref="A41:C41"/>
    <mergeCell ref="A42:C42"/>
    <mergeCell ref="A43:C43"/>
    <mergeCell ref="A44:C44"/>
    <mergeCell ref="A57:C57"/>
    <mergeCell ref="A58:C58"/>
    <mergeCell ref="A59:C59"/>
    <mergeCell ref="A60:C60"/>
    <mergeCell ref="A61:C61"/>
    <mergeCell ref="A62:C62"/>
    <mergeCell ref="A51:C51"/>
    <mergeCell ref="A52:C52"/>
    <mergeCell ref="A53:C53"/>
    <mergeCell ref="A54:C54"/>
    <mergeCell ref="A55:C55"/>
    <mergeCell ref="A56:C56"/>
    <mergeCell ref="A69:C69"/>
    <mergeCell ref="A70:C70"/>
    <mergeCell ref="A71:C71"/>
    <mergeCell ref="A72:C72"/>
    <mergeCell ref="A73:C73"/>
    <mergeCell ref="A74:C74"/>
    <mergeCell ref="A63:C63"/>
    <mergeCell ref="A64:C64"/>
    <mergeCell ref="A65:C65"/>
    <mergeCell ref="A66:C66"/>
    <mergeCell ref="A67:C67"/>
    <mergeCell ref="A68:C68"/>
    <mergeCell ref="A81:C81"/>
    <mergeCell ref="A82:C82"/>
    <mergeCell ref="A83:C83"/>
    <mergeCell ref="A84:C84"/>
    <mergeCell ref="A85:C85"/>
    <mergeCell ref="A86:C86"/>
    <mergeCell ref="A75:C75"/>
    <mergeCell ref="A76:C76"/>
    <mergeCell ref="A77:C77"/>
    <mergeCell ref="A78:C78"/>
    <mergeCell ref="A79:C79"/>
    <mergeCell ref="A80:C80"/>
    <mergeCell ref="A93:C93"/>
    <mergeCell ref="A94:C94"/>
    <mergeCell ref="A95:C95"/>
    <mergeCell ref="A96:C96"/>
    <mergeCell ref="A97:C97"/>
    <mergeCell ref="A98:C98"/>
    <mergeCell ref="A87:C87"/>
    <mergeCell ref="A88:C88"/>
    <mergeCell ref="A89:C89"/>
    <mergeCell ref="A90:C90"/>
    <mergeCell ref="A91:C91"/>
    <mergeCell ref="A92:C92"/>
    <mergeCell ref="A105:C105"/>
    <mergeCell ref="A106:C106"/>
    <mergeCell ref="A107:C107"/>
    <mergeCell ref="A108:C108"/>
    <mergeCell ref="A109:C109"/>
    <mergeCell ref="A110:C110"/>
    <mergeCell ref="A99:C99"/>
    <mergeCell ref="A100:C100"/>
    <mergeCell ref="A101:C101"/>
    <mergeCell ref="A102:C102"/>
    <mergeCell ref="A103:C103"/>
    <mergeCell ref="A104:C104"/>
    <mergeCell ref="A117:C117"/>
    <mergeCell ref="A118:C118"/>
    <mergeCell ref="A119:C119"/>
    <mergeCell ref="A120:C120"/>
    <mergeCell ref="A121:C121"/>
    <mergeCell ref="A122:C122"/>
    <mergeCell ref="A111:C111"/>
    <mergeCell ref="A112:C112"/>
    <mergeCell ref="A113:C113"/>
    <mergeCell ref="A114:C114"/>
    <mergeCell ref="A115:C115"/>
    <mergeCell ref="A116:C116"/>
    <mergeCell ref="A129:C129"/>
    <mergeCell ref="A130:C131"/>
    <mergeCell ref="D130:D131"/>
    <mergeCell ref="E130:E131"/>
    <mergeCell ref="F130:F131"/>
    <mergeCell ref="G130:G131"/>
    <mergeCell ref="A123:C123"/>
    <mergeCell ref="A124:C124"/>
    <mergeCell ref="A125:C125"/>
    <mergeCell ref="A126:C126"/>
    <mergeCell ref="A127:C127"/>
    <mergeCell ref="A128:C128"/>
    <mergeCell ref="A162:C162"/>
    <mergeCell ref="A153:C153"/>
    <mergeCell ref="A154:C154"/>
    <mergeCell ref="A155:C155"/>
    <mergeCell ref="A156:C156"/>
    <mergeCell ref="A157:C157"/>
    <mergeCell ref="A158:C158"/>
    <mergeCell ref="A147:C147"/>
    <mergeCell ref="A148:C148"/>
    <mergeCell ref="A149:C149"/>
    <mergeCell ref="A150:C150"/>
    <mergeCell ref="A151:C151"/>
    <mergeCell ref="A152:C152"/>
    <mergeCell ref="A135:C135"/>
    <mergeCell ref="A136:C136"/>
    <mergeCell ref="A137:C137"/>
    <mergeCell ref="A138:C138"/>
    <mergeCell ref="A139:C139"/>
    <mergeCell ref="A140:C140"/>
    <mergeCell ref="H130:H131"/>
    <mergeCell ref="I130:I131"/>
    <mergeCell ref="J130:J131"/>
    <mergeCell ref="A132:C132"/>
    <mergeCell ref="A133:C133"/>
    <mergeCell ref="A134:C134"/>
    <mergeCell ref="A159:C159"/>
    <mergeCell ref="A160:C160"/>
    <mergeCell ref="A161:C161"/>
    <mergeCell ref="A141:C141"/>
    <mergeCell ref="A142:C142"/>
    <mergeCell ref="A143:C143"/>
    <mergeCell ref="A144:C144"/>
    <mergeCell ref="A145:C145"/>
    <mergeCell ref="A146:C146"/>
    <mergeCell ref="K2:K3"/>
    <mergeCell ref="L2:L3"/>
    <mergeCell ref="M2:M3"/>
    <mergeCell ref="K7:K8"/>
    <mergeCell ref="K36:K37"/>
    <mergeCell ref="L36:L37"/>
    <mergeCell ref="L7:L8"/>
    <mergeCell ref="M7:M8"/>
    <mergeCell ref="M36:M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РК</vt:lpstr>
      <vt:lpstr>г. Астана</vt:lpstr>
      <vt:lpstr>г. Алматы</vt:lpstr>
      <vt:lpstr>г. Шымкент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2023-12-05T06:26:04Z</dcterms:modified>
</cp:coreProperties>
</file>