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/>
  <bookViews>
    <workbookView xWindow="-120" yWindow="-120" windowWidth="20730" windowHeight="11760" tabRatio="601" activeTab="3"/>
  </bookViews>
  <sheets>
    <sheet name="прогноз ЧН" sheetId="52" r:id="rId1"/>
    <sheet name="кол-во врачей" sheetId="53" r:id="rId2"/>
    <sheet name="заболев. сбор" sheetId="54" r:id="rId3"/>
    <sheet name="прогноз врачей" sheetId="55" r:id="rId4"/>
    <sheet name="урологи" sheetId="51" r:id="rId5"/>
    <sheet name="нейрохирурги (2)" sheetId="50" r:id="rId6"/>
    <sheet name="кардиохирурги" sheetId="49" r:id="rId7"/>
    <sheet name="детские хирурги " sheetId="48" r:id="rId8"/>
    <sheet name="общие хирурги" sheetId="47" r:id="rId9"/>
    <sheet name="АиР " sheetId="46" r:id="rId10"/>
    <sheet name="ангиохирурги" sheetId="45" r:id="rId11"/>
    <sheet name="гастроэнтерол новое" sheetId="43" r:id="rId12"/>
    <sheet name="акушерство и гинек  новое" sheetId="42" r:id="rId13"/>
    <sheet name="гематология взросл новое" sheetId="41" r:id="rId14"/>
    <sheet name="генетики новое" sheetId="40" r:id="rId15"/>
    <sheet name="дерматология  новое" sheetId="39" r:id="rId16"/>
    <sheet name="инфекционные болезни новое" sheetId="38" r:id="rId17"/>
    <sheet name="кардиология  новое" sheetId="37" r:id="rId18"/>
    <sheet name="неврология  новое" sheetId="36" r:id="rId19"/>
    <sheet name="нефрология новое" sheetId="35" r:id="rId20"/>
    <sheet name="эндокринология новое" sheetId="34" r:id="rId21"/>
    <sheet name="травматология и ортоп (2)" sheetId="33" r:id="rId22"/>
    <sheet name="пульмонология новое" sheetId="32" r:id="rId23"/>
    <sheet name="психиатры новое" sheetId="31" r:id="rId24"/>
    <sheet name="оториноларингология новое" sheetId="30" r:id="rId25"/>
    <sheet name="офтальмология новое" sheetId="29" r:id="rId26"/>
    <sheet name="онкология и гем дет новое" sheetId="28" r:id="rId27"/>
    <sheet name="онкология взрослая новое" sheetId="27" r:id="rId28"/>
    <sheet name="ревматологи новое" sheetId="26" r:id="rId29"/>
    <sheet name="неонатологи новое  (2)" sheetId="25" r:id="rId30"/>
    <sheet name="аллергологи новое " sheetId="21" r:id="rId31"/>
  </sheets>
  <externalReferences>
    <externalReference r:id="rId32"/>
    <externalReference r:id="rId33"/>
  </externalReferenc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55" l="1"/>
  <c r="R25" i="55"/>
  <c r="R27" i="55"/>
  <c r="R29" i="55"/>
  <c r="R28" i="55"/>
  <c r="R26" i="55"/>
  <c r="R24" i="55"/>
  <c r="R23" i="55"/>
  <c r="R22" i="55"/>
  <c r="R21" i="55"/>
  <c r="R20" i="55"/>
  <c r="R19" i="55"/>
  <c r="R18" i="55"/>
  <c r="R17" i="55"/>
  <c r="R16" i="55"/>
  <c r="R15" i="55"/>
  <c r="R14" i="55"/>
  <c r="R13" i="55"/>
  <c r="R12" i="55"/>
  <c r="R11" i="55"/>
  <c r="R10" i="55"/>
  <c r="R9" i="55"/>
  <c r="R8" i="55"/>
  <c r="R7" i="55"/>
  <c r="R6" i="55"/>
  <c r="R5" i="55"/>
  <c r="R4" i="55"/>
  <c r="I11" i="45"/>
  <c r="I12" i="45"/>
  <c r="I13" i="45"/>
  <c r="I14" i="45"/>
  <c r="I15" i="45"/>
  <c r="I16" i="45"/>
  <c r="I17" i="45"/>
  <c r="I10" i="45"/>
  <c r="H11" i="45"/>
  <c r="H12" i="45"/>
  <c r="H13" i="45"/>
  <c r="H14" i="45"/>
  <c r="H15" i="45"/>
  <c r="H16" i="45"/>
  <c r="H17" i="45"/>
  <c r="H10" i="45"/>
  <c r="H5" i="45"/>
  <c r="H6" i="45"/>
  <c r="H7" i="45"/>
  <c r="H8" i="45"/>
  <c r="H9" i="45"/>
  <c r="H4" i="45"/>
  <c r="I11" i="47"/>
  <c r="I12" i="47"/>
  <c r="I13" i="47"/>
  <c r="I14" i="47"/>
  <c r="I15" i="47"/>
  <c r="I16" i="47"/>
  <c r="I17" i="47"/>
  <c r="I10" i="47"/>
  <c r="H11" i="47"/>
  <c r="H12" i="47"/>
  <c r="H13" i="47"/>
  <c r="H14" i="47"/>
  <c r="H15" i="47"/>
  <c r="H16" i="47"/>
  <c r="H17" i="47"/>
  <c r="H10" i="47"/>
  <c r="H5" i="47"/>
  <c r="H6" i="47"/>
  <c r="H7" i="47"/>
  <c r="H8" i="47"/>
  <c r="H9" i="47"/>
  <c r="H4" i="47"/>
  <c r="I11" i="48"/>
  <c r="I12" i="48"/>
  <c r="I13" i="48"/>
  <c r="I14" i="48"/>
  <c r="I15" i="48"/>
  <c r="I16" i="48"/>
  <c r="I17" i="48"/>
  <c r="I10" i="48"/>
  <c r="H11" i="48"/>
  <c r="H12" i="48"/>
  <c r="H13" i="48"/>
  <c r="H14" i="48"/>
  <c r="H15" i="48"/>
  <c r="H16" i="48"/>
  <c r="H17" i="48"/>
  <c r="H10" i="48"/>
  <c r="H5" i="48"/>
  <c r="H6" i="48"/>
  <c r="H7" i="48"/>
  <c r="H8" i="48"/>
  <c r="H9" i="48"/>
  <c r="H4" i="48"/>
  <c r="I11" i="50"/>
  <c r="I12" i="50"/>
  <c r="I13" i="50"/>
  <c r="I14" i="50"/>
  <c r="I15" i="50"/>
  <c r="I16" i="50"/>
  <c r="I17" i="50"/>
  <c r="I10" i="50"/>
  <c r="H11" i="50"/>
  <c r="H12" i="50"/>
  <c r="H13" i="50"/>
  <c r="H14" i="50"/>
  <c r="H15" i="50"/>
  <c r="H16" i="50"/>
  <c r="H17" i="50"/>
  <c r="H10" i="50"/>
  <c r="H5" i="50"/>
  <c r="H6" i="50"/>
  <c r="H7" i="50"/>
  <c r="H8" i="50"/>
  <c r="H9" i="50"/>
  <c r="H4" i="50"/>
  <c r="I17" i="51"/>
  <c r="I11" i="51"/>
  <c r="I12" i="51"/>
  <c r="I13" i="51"/>
  <c r="I14" i="51"/>
  <c r="I15" i="51"/>
  <c r="I16" i="51"/>
  <c r="I10" i="51"/>
  <c r="H11" i="51"/>
  <c r="H12" i="51"/>
  <c r="H13" i="51"/>
  <c r="H14" i="51"/>
  <c r="H15" i="51"/>
  <c r="H16" i="51"/>
  <c r="H17" i="51"/>
  <c r="H10" i="51"/>
  <c r="H5" i="51" l="1"/>
  <c r="H6" i="51"/>
  <c r="H7" i="51"/>
  <c r="H8" i="51"/>
  <c r="H9" i="51"/>
  <c r="H4" i="51"/>
  <c r="D94" i="54"/>
  <c r="E94" i="54"/>
  <c r="H4" i="43" l="1"/>
  <c r="K120" i="54" l="1"/>
  <c r="J120" i="54"/>
  <c r="I120" i="54"/>
  <c r="H120" i="54"/>
  <c r="G120" i="54"/>
  <c r="F120" i="54"/>
  <c r="E120" i="54"/>
  <c r="D120" i="54"/>
  <c r="K119" i="54"/>
  <c r="J119" i="54"/>
  <c r="I119" i="54"/>
  <c r="H119" i="54"/>
  <c r="G119" i="54"/>
  <c r="F119" i="54"/>
  <c r="E119" i="54"/>
  <c r="D119" i="54"/>
  <c r="K118" i="54"/>
  <c r="J118" i="54"/>
  <c r="I118" i="54"/>
  <c r="H118" i="54"/>
  <c r="G118" i="54"/>
  <c r="F118" i="54"/>
  <c r="E118" i="54"/>
  <c r="D118" i="54"/>
  <c r="K117" i="54"/>
  <c r="J117" i="54"/>
  <c r="I117" i="54"/>
  <c r="H117" i="54"/>
  <c r="G117" i="54"/>
  <c r="F117" i="54"/>
  <c r="E117" i="54"/>
  <c r="D117" i="54"/>
  <c r="K116" i="54"/>
  <c r="J116" i="54"/>
  <c r="I116" i="54"/>
  <c r="H116" i="54"/>
  <c r="G116" i="54"/>
  <c r="F116" i="54"/>
  <c r="E116" i="54"/>
  <c r="D116" i="54"/>
  <c r="K115" i="54"/>
  <c r="J115" i="54"/>
  <c r="I115" i="54"/>
  <c r="H115" i="54"/>
  <c r="G115" i="54"/>
  <c r="F115" i="54"/>
  <c r="E115" i="54"/>
  <c r="D115" i="54"/>
  <c r="K114" i="54"/>
  <c r="J114" i="54"/>
  <c r="I114" i="54"/>
  <c r="H114" i="54"/>
  <c r="G114" i="54"/>
  <c r="F114" i="54"/>
  <c r="E114" i="54"/>
  <c r="D114" i="54"/>
  <c r="K113" i="54"/>
  <c r="J113" i="54"/>
  <c r="I113" i="54"/>
  <c r="H113" i="54"/>
  <c r="G113" i="54"/>
  <c r="F113" i="54"/>
  <c r="E113" i="54"/>
  <c r="D113" i="54"/>
  <c r="K112" i="54"/>
  <c r="J112" i="54"/>
  <c r="I112" i="54"/>
  <c r="H112" i="54"/>
  <c r="G112" i="54"/>
  <c r="F112" i="54"/>
  <c r="E112" i="54"/>
  <c r="D112" i="54"/>
  <c r="K111" i="54"/>
  <c r="J111" i="54"/>
  <c r="I111" i="54"/>
  <c r="H111" i="54"/>
  <c r="G111" i="54"/>
  <c r="F111" i="54"/>
  <c r="E111" i="54"/>
  <c r="D111" i="54"/>
  <c r="K110" i="54"/>
  <c r="J110" i="54"/>
  <c r="I110" i="54"/>
  <c r="H110" i="54"/>
  <c r="G110" i="54"/>
  <c r="F110" i="54"/>
  <c r="E110" i="54"/>
  <c r="D110" i="54"/>
  <c r="K109" i="54"/>
  <c r="J109" i="54"/>
  <c r="I109" i="54"/>
  <c r="H109" i="54"/>
  <c r="G109" i="54"/>
  <c r="F109" i="54"/>
  <c r="E109" i="54"/>
  <c r="D109" i="54"/>
  <c r="K108" i="54"/>
  <c r="J108" i="54"/>
  <c r="I108" i="54"/>
  <c r="H108" i="54"/>
  <c r="G108" i="54"/>
  <c r="F108" i="54"/>
  <c r="E108" i="54"/>
  <c r="D108" i="54"/>
  <c r="K107" i="54"/>
  <c r="J107" i="54"/>
  <c r="I107" i="54"/>
  <c r="H107" i="54"/>
  <c r="G107" i="54"/>
  <c r="F107" i="54"/>
  <c r="E107" i="54"/>
  <c r="D107" i="54"/>
  <c r="F106" i="54"/>
  <c r="E106" i="54"/>
  <c r="D106" i="54"/>
  <c r="K105" i="54"/>
  <c r="J105" i="54"/>
  <c r="I105" i="54"/>
  <c r="H105" i="54"/>
  <c r="G105" i="54"/>
  <c r="F105" i="54"/>
  <c r="E105" i="54"/>
  <c r="D105" i="54"/>
  <c r="K104" i="54"/>
  <c r="J104" i="54"/>
  <c r="I104" i="54"/>
  <c r="H104" i="54"/>
  <c r="G104" i="54"/>
  <c r="F104" i="54"/>
  <c r="E104" i="54"/>
  <c r="D104" i="54"/>
  <c r="F103" i="54"/>
  <c r="E103" i="54"/>
  <c r="D103" i="54"/>
  <c r="K102" i="54"/>
  <c r="J102" i="54"/>
  <c r="I102" i="54"/>
  <c r="H102" i="54"/>
  <c r="G102" i="54"/>
  <c r="F102" i="54"/>
  <c r="E102" i="54"/>
  <c r="D102" i="54"/>
  <c r="K101" i="54"/>
  <c r="J101" i="54"/>
  <c r="I101" i="54"/>
  <c r="H101" i="54"/>
  <c r="G101" i="54"/>
  <c r="F101" i="54"/>
  <c r="E101" i="54"/>
  <c r="D101" i="54"/>
  <c r="K100" i="54"/>
  <c r="J100" i="54"/>
  <c r="I100" i="54"/>
  <c r="H100" i="54"/>
  <c r="G100" i="54"/>
  <c r="F100" i="54"/>
  <c r="E100" i="54"/>
  <c r="D100" i="54"/>
  <c r="K99" i="54"/>
  <c r="J99" i="54"/>
  <c r="I99" i="54"/>
  <c r="H99" i="54"/>
  <c r="G99" i="54"/>
  <c r="F99" i="54"/>
  <c r="E99" i="54"/>
  <c r="D99" i="54"/>
  <c r="K98" i="54"/>
  <c r="J98" i="54"/>
  <c r="I98" i="54"/>
  <c r="H98" i="54"/>
  <c r="G98" i="54"/>
  <c r="F98" i="54"/>
  <c r="E98" i="54"/>
  <c r="D98" i="54"/>
  <c r="I97" i="54"/>
  <c r="F97" i="54"/>
  <c r="E97" i="54"/>
  <c r="D97" i="54"/>
  <c r="F96" i="54"/>
  <c r="E96" i="54"/>
  <c r="D96" i="54"/>
  <c r="K95" i="54"/>
  <c r="J95" i="54"/>
  <c r="I95" i="54"/>
  <c r="H95" i="54"/>
  <c r="G95" i="54"/>
  <c r="F95" i="54"/>
  <c r="E95" i="54"/>
  <c r="D95" i="54"/>
  <c r="K94" i="54"/>
  <c r="J94" i="54"/>
  <c r="I94" i="54"/>
  <c r="H94" i="54"/>
  <c r="G94" i="54"/>
  <c r="F94" i="54"/>
  <c r="K106" i="54"/>
  <c r="J106" i="54"/>
  <c r="I106" i="54"/>
  <c r="H106" i="54"/>
  <c r="G106" i="54"/>
  <c r="K103" i="54"/>
  <c r="J103" i="54"/>
  <c r="I103" i="54"/>
  <c r="H103" i="54"/>
  <c r="G103" i="54"/>
  <c r="K97" i="54"/>
  <c r="J97" i="54"/>
  <c r="H97" i="54"/>
  <c r="G97" i="54"/>
  <c r="K96" i="54"/>
  <c r="J96" i="54"/>
  <c r="I96" i="54"/>
  <c r="H96" i="54"/>
  <c r="G96" i="54"/>
  <c r="R31" i="53" l="1"/>
  <c r="O31" i="53"/>
  <c r="K31" i="53"/>
  <c r="L31" i="53"/>
  <c r="R30" i="53"/>
  <c r="M30" i="53"/>
  <c r="O30" i="53" s="1"/>
  <c r="J30" i="53"/>
  <c r="L30" i="53" s="1"/>
  <c r="AO127" i="52"/>
  <c r="AN127" i="52"/>
  <c r="AM127" i="52"/>
  <c r="AL127" i="52"/>
  <c r="AK127" i="52"/>
  <c r="AJ127" i="52"/>
  <c r="AI127" i="52"/>
  <c r="AH127" i="52"/>
  <c r="AG127" i="52"/>
  <c r="AF127" i="52"/>
  <c r="AE127" i="52"/>
  <c r="AD127" i="52"/>
  <c r="AC127" i="52"/>
  <c r="AB127" i="52"/>
  <c r="AA127" i="52"/>
  <c r="Z127" i="52"/>
  <c r="Y127" i="52"/>
  <c r="X127" i="52"/>
  <c r="W127" i="52"/>
  <c r="V127" i="52"/>
  <c r="U127" i="52"/>
  <c r="T127" i="52"/>
  <c r="S127" i="52"/>
  <c r="R127" i="52"/>
  <c r="Q127" i="52"/>
  <c r="P127" i="52"/>
  <c r="O127" i="52"/>
  <c r="N127" i="52"/>
  <c r="M127" i="52"/>
  <c r="L127" i="52"/>
  <c r="K127" i="52"/>
  <c r="J127" i="52"/>
  <c r="I127" i="52"/>
  <c r="H127" i="52"/>
  <c r="G127" i="52"/>
  <c r="F127" i="52"/>
  <c r="E127" i="52"/>
  <c r="D127" i="52"/>
  <c r="AO100" i="52"/>
  <c r="AN100" i="52"/>
  <c r="AM100" i="52"/>
  <c r="AL100" i="52"/>
  <c r="AK100" i="52"/>
  <c r="AJ100" i="52"/>
  <c r="AI100" i="52"/>
  <c r="AH100" i="52"/>
  <c r="AG100" i="52"/>
  <c r="AF100" i="52"/>
  <c r="AE100" i="52"/>
  <c r="AD100" i="52"/>
  <c r="AC100" i="52"/>
  <c r="AB100" i="52"/>
  <c r="AA100" i="52"/>
  <c r="Z100" i="52"/>
  <c r="Y100" i="52"/>
  <c r="X100" i="52"/>
  <c r="W100" i="52"/>
  <c r="V100" i="52"/>
  <c r="U100" i="52"/>
  <c r="T100" i="52"/>
  <c r="S100" i="52"/>
  <c r="R100" i="52"/>
  <c r="Q100" i="52"/>
  <c r="P100" i="52"/>
  <c r="O100" i="52"/>
  <c r="N100" i="52"/>
  <c r="M100" i="52"/>
  <c r="L100" i="52"/>
  <c r="K100" i="52"/>
  <c r="J100" i="52"/>
  <c r="I100" i="52"/>
  <c r="H100" i="52"/>
  <c r="G100" i="52"/>
  <c r="F100" i="52"/>
  <c r="E100" i="52"/>
  <c r="D100" i="52"/>
  <c r="AO99" i="52"/>
  <c r="AN99" i="52"/>
  <c r="AM99" i="52"/>
  <c r="AL99" i="52"/>
  <c r="AK99" i="52"/>
  <c r="AJ99" i="52"/>
  <c r="AI99" i="52"/>
  <c r="AH99" i="52"/>
  <c r="AG99" i="52"/>
  <c r="AF99" i="52"/>
  <c r="AE99" i="52"/>
  <c r="AD99" i="52"/>
  <c r="AC99" i="52"/>
  <c r="AB99" i="52"/>
  <c r="AA99" i="52"/>
  <c r="Z99" i="52"/>
  <c r="Y99" i="52"/>
  <c r="X99" i="52"/>
  <c r="W99" i="52"/>
  <c r="V99" i="52"/>
  <c r="U99" i="52"/>
  <c r="T99" i="52"/>
  <c r="S99" i="52"/>
  <c r="R99" i="52"/>
  <c r="Q99" i="52"/>
  <c r="P99" i="52"/>
  <c r="O99" i="52"/>
  <c r="N99" i="52"/>
  <c r="M99" i="52"/>
  <c r="L99" i="52"/>
  <c r="K99" i="52"/>
  <c r="J99" i="52"/>
  <c r="I99" i="52"/>
  <c r="H99" i="52"/>
  <c r="G99" i="52"/>
  <c r="F99" i="52"/>
  <c r="E99" i="52"/>
  <c r="D99" i="52"/>
  <c r="AO98" i="52"/>
  <c r="AN98" i="52"/>
  <c r="AM98" i="52"/>
  <c r="AL98" i="52"/>
  <c r="AK98" i="52"/>
  <c r="AJ98" i="52"/>
  <c r="AI98" i="52"/>
  <c r="AH98" i="52"/>
  <c r="AG98" i="52"/>
  <c r="AF98" i="52"/>
  <c r="AE98" i="52"/>
  <c r="AD98" i="52"/>
  <c r="AC98" i="52"/>
  <c r="AB98" i="52"/>
  <c r="AA98" i="52"/>
  <c r="Z98" i="52"/>
  <c r="Y98" i="52"/>
  <c r="X98" i="52"/>
  <c r="W98" i="52"/>
  <c r="V98" i="52"/>
  <c r="U98" i="52"/>
  <c r="T98" i="52"/>
  <c r="S98" i="52"/>
  <c r="R98" i="52"/>
  <c r="Q98" i="52"/>
  <c r="P98" i="52"/>
  <c r="O98" i="52"/>
  <c r="N98" i="52"/>
  <c r="M98" i="52"/>
  <c r="L98" i="52"/>
  <c r="K98" i="52"/>
  <c r="J98" i="52"/>
  <c r="I98" i="52"/>
  <c r="H98" i="52"/>
  <c r="G98" i="52"/>
  <c r="F98" i="52"/>
  <c r="E98" i="52"/>
  <c r="D98" i="52"/>
  <c r="AO97" i="52"/>
  <c r="AN97" i="52"/>
  <c r="AM97" i="52"/>
  <c r="AL97" i="52"/>
  <c r="AK97" i="52"/>
  <c r="AJ97" i="52"/>
  <c r="AI97" i="52"/>
  <c r="AH97" i="52"/>
  <c r="AG97" i="52"/>
  <c r="AF97" i="52"/>
  <c r="AE97" i="52"/>
  <c r="AD97" i="52"/>
  <c r="AC97" i="52"/>
  <c r="AB97" i="52"/>
  <c r="AA97" i="52"/>
  <c r="Z97" i="52"/>
  <c r="Y97" i="52"/>
  <c r="X97" i="52"/>
  <c r="W97" i="52"/>
  <c r="V97" i="52"/>
  <c r="U97" i="52"/>
  <c r="T97" i="52"/>
  <c r="S97" i="52"/>
  <c r="R97" i="52"/>
  <c r="Q97" i="52"/>
  <c r="P97" i="52"/>
  <c r="O97" i="52"/>
  <c r="N97" i="52"/>
  <c r="M97" i="52"/>
  <c r="L97" i="52"/>
  <c r="K97" i="52"/>
  <c r="J97" i="52"/>
  <c r="I97" i="52"/>
  <c r="H97" i="52"/>
  <c r="G97" i="52"/>
  <c r="F97" i="52"/>
  <c r="E97" i="52"/>
  <c r="D97" i="52"/>
  <c r="AO96" i="52"/>
  <c r="AN96" i="52"/>
  <c r="AM96" i="52"/>
  <c r="AL96" i="52"/>
  <c r="AK96" i="52"/>
  <c r="AJ96" i="52"/>
  <c r="AI96" i="52"/>
  <c r="AH96" i="52"/>
  <c r="AG96" i="52"/>
  <c r="AF96" i="52"/>
  <c r="AE96" i="52"/>
  <c r="AD96" i="52"/>
  <c r="AC96" i="52"/>
  <c r="AB96" i="52"/>
  <c r="AA96" i="52"/>
  <c r="Z96" i="52"/>
  <c r="Y96" i="52"/>
  <c r="X96" i="52"/>
  <c r="W96" i="52"/>
  <c r="V96" i="52"/>
  <c r="U96" i="52"/>
  <c r="T96" i="52"/>
  <c r="S96" i="52"/>
  <c r="R96" i="52"/>
  <c r="Q96" i="52"/>
  <c r="P96" i="52"/>
  <c r="O96" i="52"/>
  <c r="N96" i="52"/>
  <c r="M96" i="52"/>
  <c r="L96" i="52"/>
  <c r="K96" i="52"/>
  <c r="J96" i="52"/>
  <c r="I96" i="52"/>
  <c r="H96" i="52"/>
  <c r="G96" i="52"/>
  <c r="F96" i="52"/>
  <c r="E96" i="52"/>
  <c r="D96" i="52"/>
  <c r="AO95" i="52"/>
  <c r="AN95" i="52"/>
  <c r="AM95" i="52"/>
  <c r="AL95" i="52"/>
  <c r="AK95" i="52"/>
  <c r="AJ95" i="52"/>
  <c r="AI95" i="52"/>
  <c r="AH95" i="52"/>
  <c r="AG95" i="52"/>
  <c r="AF95" i="52"/>
  <c r="AE95" i="52"/>
  <c r="AD95" i="52"/>
  <c r="AC95" i="52"/>
  <c r="AB95" i="52"/>
  <c r="AA95" i="52"/>
  <c r="Z95" i="52"/>
  <c r="Y95" i="52"/>
  <c r="X95" i="52"/>
  <c r="W95" i="52"/>
  <c r="V95" i="52"/>
  <c r="U95" i="52"/>
  <c r="T95" i="52"/>
  <c r="S95" i="52"/>
  <c r="R95" i="52"/>
  <c r="Q95" i="52"/>
  <c r="P95" i="52"/>
  <c r="O95" i="52"/>
  <c r="N95" i="52"/>
  <c r="M95" i="52"/>
  <c r="L95" i="52"/>
  <c r="K95" i="52"/>
  <c r="J95" i="52"/>
  <c r="I95" i="52"/>
  <c r="H95" i="52"/>
  <c r="G95" i="52"/>
  <c r="F95" i="52"/>
  <c r="E95" i="52"/>
  <c r="D95" i="52"/>
  <c r="AO94" i="52"/>
  <c r="AN94" i="52"/>
  <c r="AM94" i="52"/>
  <c r="AL94" i="52"/>
  <c r="AK94" i="52"/>
  <c r="AJ94" i="52"/>
  <c r="AI94" i="52"/>
  <c r="AH94" i="52"/>
  <c r="AG94" i="52"/>
  <c r="AF94" i="52"/>
  <c r="AE94" i="52"/>
  <c r="AD94" i="52"/>
  <c r="AC94" i="52"/>
  <c r="AB94" i="52"/>
  <c r="AA94" i="52"/>
  <c r="Z94" i="52"/>
  <c r="Y94" i="52"/>
  <c r="X94" i="52"/>
  <c r="W94" i="52"/>
  <c r="V94" i="52"/>
  <c r="U94" i="52"/>
  <c r="T94" i="52"/>
  <c r="S94" i="52"/>
  <c r="R94" i="52"/>
  <c r="Q94" i="52"/>
  <c r="P94" i="52"/>
  <c r="O94" i="52"/>
  <c r="N94" i="52"/>
  <c r="M94" i="52"/>
  <c r="L94" i="52"/>
  <c r="K94" i="52"/>
  <c r="J94" i="52"/>
  <c r="I94" i="52"/>
  <c r="H94" i="52"/>
  <c r="G94" i="52"/>
  <c r="F94" i="52"/>
  <c r="E94" i="52"/>
  <c r="D94" i="52"/>
  <c r="AO93" i="52"/>
  <c r="AN93" i="52"/>
  <c r="AM93" i="52"/>
  <c r="AL93" i="52"/>
  <c r="AK93" i="52"/>
  <c r="AJ93" i="52"/>
  <c r="AI93" i="52"/>
  <c r="AH93" i="52"/>
  <c r="AG93" i="52"/>
  <c r="AF93" i="52"/>
  <c r="AE93" i="52"/>
  <c r="AD93" i="52"/>
  <c r="AC93" i="52"/>
  <c r="AB93" i="52"/>
  <c r="AA93" i="52"/>
  <c r="Z93" i="52"/>
  <c r="Y93" i="52"/>
  <c r="X93" i="52"/>
  <c r="W93" i="52"/>
  <c r="V93" i="52"/>
  <c r="U93" i="52"/>
  <c r="T93" i="52"/>
  <c r="S93" i="52"/>
  <c r="R93" i="52"/>
  <c r="Q93" i="52"/>
  <c r="P93" i="52"/>
  <c r="O93" i="52"/>
  <c r="N93" i="52"/>
  <c r="M93" i="52"/>
  <c r="L93" i="52"/>
  <c r="K93" i="52"/>
  <c r="J93" i="52"/>
  <c r="I93" i="52"/>
  <c r="H93" i="52"/>
  <c r="G93" i="52"/>
  <c r="F93" i="52"/>
  <c r="E93" i="52"/>
  <c r="D93" i="52"/>
  <c r="AO92" i="52"/>
  <c r="AN92" i="52"/>
  <c r="AM92" i="52"/>
  <c r="AL92" i="52"/>
  <c r="AK92" i="52"/>
  <c r="AJ92" i="52"/>
  <c r="AI92" i="52"/>
  <c r="AH92" i="52"/>
  <c r="AG92" i="52"/>
  <c r="AF92" i="52"/>
  <c r="AE92" i="52"/>
  <c r="AD92" i="52"/>
  <c r="AC92" i="52"/>
  <c r="AB92" i="52"/>
  <c r="AA92" i="52"/>
  <c r="Z92" i="52"/>
  <c r="Y92" i="52"/>
  <c r="X92" i="52"/>
  <c r="W92" i="52"/>
  <c r="V92" i="52"/>
  <c r="U92" i="52"/>
  <c r="T92" i="52"/>
  <c r="S92" i="52"/>
  <c r="R92" i="52"/>
  <c r="Q92" i="52"/>
  <c r="P92" i="52"/>
  <c r="O92" i="52"/>
  <c r="N92" i="52"/>
  <c r="M92" i="52"/>
  <c r="L92" i="52"/>
  <c r="K92" i="52"/>
  <c r="J92" i="52"/>
  <c r="I92" i="52"/>
  <c r="H92" i="52"/>
  <c r="G92" i="52"/>
  <c r="F92" i="52"/>
  <c r="E92" i="52"/>
  <c r="D92" i="52"/>
  <c r="AO91" i="52"/>
  <c r="AN91" i="52"/>
  <c r="AM91" i="52"/>
  <c r="AL91" i="52"/>
  <c r="AK91" i="52"/>
  <c r="AJ91" i="52"/>
  <c r="AI91" i="52"/>
  <c r="AH91" i="52"/>
  <c r="AG91" i="52"/>
  <c r="AF91" i="52"/>
  <c r="AE91" i="52"/>
  <c r="AD91" i="52"/>
  <c r="AC91" i="52"/>
  <c r="AB91" i="52"/>
  <c r="AA91" i="52"/>
  <c r="Z91" i="52"/>
  <c r="Y91" i="52"/>
  <c r="X91" i="52"/>
  <c r="W91" i="52"/>
  <c r="V91" i="52"/>
  <c r="U91" i="52"/>
  <c r="T91" i="52"/>
  <c r="S91" i="52"/>
  <c r="R91" i="52"/>
  <c r="Q91" i="52"/>
  <c r="P91" i="52"/>
  <c r="O91" i="52"/>
  <c r="N91" i="52"/>
  <c r="M91" i="52"/>
  <c r="L91" i="52"/>
  <c r="K91" i="52"/>
  <c r="J91" i="52"/>
  <c r="I91" i="52"/>
  <c r="H91" i="52"/>
  <c r="G91" i="52"/>
  <c r="F91" i="52"/>
  <c r="E91" i="52"/>
  <c r="D91" i="52"/>
  <c r="AO90" i="52"/>
  <c r="AN90" i="52"/>
  <c r="AM90" i="52"/>
  <c r="AL90" i="52"/>
  <c r="AK90" i="52"/>
  <c r="AJ90" i="52"/>
  <c r="AI90" i="52"/>
  <c r="AH90" i="52"/>
  <c r="AG90" i="52"/>
  <c r="AF90" i="52"/>
  <c r="AE90" i="52"/>
  <c r="AD90" i="52"/>
  <c r="AC90" i="52"/>
  <c r="AB90" i="52"/>
  <c r="AA90" i="52"/>
  <c r="Z90" i="52"/>
  <c r="Y90" i="52"/>
  <c r="X90" i="52"/>
  <c r="W90" i="52"/>
  <c r="V90" i="52"/>
  <c r="U90" i="52"/>
  <c r="T90" i="52"/>
  <c r="S90" i="52"/>
  <c r="R90" i="52"/>
  <c r="Q90" i="52"/>
  <c r="P90" i="52"/>
  <c r="O90" i="52"/>
  <c r="N90" i="52"/>
  <c r="M90" i="52"/>
  <c r="L90" i="52"/>
  <c r="K90" i="52"/>
  <c r="J90" i="52"/>
  <c r="I90" i="52"/>
  <c r="H90" i="52"/>
  <c r="G90" i="52"/>
  <c r="F90" i="52"/>
  <c r="E90" i="52"/>
  <c r="D90" i="52"/>
  <c r="AO89" i="52"/>
  <c r="AN89" i="52"/>
  <c r="AM89" i="52"/>
  <c r="AL89" i="52"/>
  <c r="AK89" i="52"/>
  <c r="AJ89" i="52"/>
  <c r="AI89" i="52"/>
  <c r="AH89" i="52"/>
  <c r="AG89" i="52"/>
  <c r="AF89" i="52"/>
  <c r="AE89" i="52"/>
  <c r="AD89" i="52"/>
  <c r="AC89" i="52"/>
  <c r="AB89" i="52"/>
  <c r="AA89" i="52"/>
  <c r="Z89" i="52"/>
  <c r="Y89" i="52"/>
  <c r="X89" i="52"/>
  <c r="W89" i="52"/>
  <c r="V89" i="52"/>
  <c r="U89" i="52"/>
  <c r="T89" i="52"/>
  <c r="S89" i="52"/>
  <c r="R89" i="52"/>
  <c r="Q89" i="52"/>
  <c r="P89" i="52"/>
  <c r="O89" i="52"/>
  <c r="N89" i="52"/>
  <c r="M89" i="52"/>
  <c r="L89" i="52"/>
  <c r="K89" i="52"/>
  <c r="J89" i="52"/>
  <c r="I89" i="52"/>
  <c r="H89" i="52"/>
  <c r="G89" i="52"/>
  <c r="F89" i="52"/>
  <c r="E89" i="52"/>
  <c r="D89" i="52"/>
  <c r="AO88" i="52"/>
  <c r="AN88" i="52"/>
  <c r="AM88" i="52"/>
  <c r="AL88" i="52"/>
  <c r="AK88" i="52"/>
  <c r="AJ88" i="52"/>
  <c r="AI88" i="52"/>
  <c r="AH88" i="52"/>
  <c r="AG88" i="52"/>
  <c r="AF88" i="52"/>
  <c r="AE88" i="52"/>
  <c r="AD88" i="52"/>
  <c r="AC88" i="52"/>
  <c r="AB88" i="52"/>
  <c r="AA88" i="52"/>
  <c r="Z88" i="52"/>
  <c r="Y88" i="52"/>
  <c r="X88" i="52"/>
  <c r="W88" i="52"/>
  <c r="V88" i="52"/>
  <c r="U88" i="52"/>
  <c r="T88" i="52"/>
  <c r="S88" i="52"/>
  <c r="R88" i="52"/>
  <c r="Q88" i="52"/>
  <c r="P88" i="52"/>
  <c r="O88" i="52"/>
  <c r="N88" i="52"/>
  <c r="M88" i="52"/>
  <c r="L88" i="52"/>
  <c r="K88" i="52"/>
  <c r="J88" i="52"/>
  <c r="I88" i="52"/>
  <c r="H88" i="52"/>
  <c r="G88" i="52"/>
  <c r="F88" i="52"/>
  <c r="E88" i="52"/>
  <c r="D88" i="52"/>
  <c r="AO87" i="52"/>
  <c r="AN87" i="52"/>
  <c r="AM87" i="52"/>
  <c r="AL87" i="52"/>
  <c r="AK87" i="52"/>
  <c r="AJ87" i="52"/>
  <c r="AI87" i="52"/>
  <c r="AH87" i="52"/>
  <c r="AG87" i="52"/>
  <c r="AF87" i="52"/>
  <c r="AE87" i="52"/>
  <c r="AD87" i="52"/>
  <c r="AC87" i="52"/>
  <c r="AB87" i="52"/>
  <c r="AA87" i="52"/>
  <c r="Z87" i="52"/>
  <c r="Y87" i="52"/>
  <c r="X87" i="52"/>
  <c r="W87" i="52"/>
  <c r="V87" i="52"/>
  <c r="U87" i="52"/>
  <c r="T87" i="52"/>
  <c r="S87" i="52"/>
  <c r="R87" i="52"/>
  <c r="Q87" i="52"/>
  <c r="P87" i="52"/>
  <c r="O87" i="52"/>
  <c r="N87" i="52"/>
  <c r="M87" i="52"/>
  <c r="L87" i="52"/>
  <c r="K87" i="52"/>
  <c r="J87" i="52"/>
  <c r="I87" i="52"/>
  <c r="H87" i="52"/>
  <c r="G87" i="52"/>
  <c r="F87" i="52"/>
  <c r="E87" i="52"/>
  <c r="D87" i="52"/>
  <c r="AO86" i="52"/>
  <c r="AN86" i="52"/>
  <c r="AM86" i="52"/>
  <c r="AL86" i="52"/>
  <c r="AK86" i="52"/>
  <c r="AJ86" i="52"/>
  <c r="AI86" i="52"/>
  <c r="AH86" i="52"/>
  <c r="AG86" i="52"/>
  <c r="AF86" i="52"/>
  <c r="AE86" i="52"/>
  <c r="AD86" i="52"/>
  <c r="AC86" i="52"/>
  <c r="AB86" i="52"/>
  <c r="AA86" i="52"/>
  <c r="Z86" i="52"/>
  <c r="Y86" i="52"/>
  <c r="X86" i="52"/>
  <c r="W86" i="52"/>
  <c r="V86" i="52"/>
  <c r="U86" i="52"/>
  <c r="T86" i="52"/>
  <c r="S86" i="52"/>
  <c r="R86" i="52"/>
  <c r="Q86" i="52"/>
  <c r="P86" i="52"/>
  <c r="O86" i="52"/>
  <c r="N86" i="52"/>
  <c r="M86" i="52"/>
  <c r="L86" i="52"/>
  <c r="K86" i="52"/>
  <c r="J86" i="52"/>
  <c r="I86" i="52"/>
  <c r="H86" i="52"/>
  <c r="G86" i="52"/>
  <c r="F86" i="52"/>
  <c r="E86" i="52"/>
  <c r="D86" i="52"/>
  <c r="AO85" i="52"/>
  <c r="AN85" i="52"/>
  <c r="AM85" i="52"/>
  <c r="AL85" i="52"/>
  <c r="AK85" i="52"/>
  <c r="AJ85" i="52"/>
  <c r="AI85" i="52"/>
  <c r="AH85" i="52"/>
  <c r="AG85" i="52"/>
  <c r="AF85" i="52"/>
  <c r="AE85" i="52"/>
  <c r="AD85" i="52"/>
  <c r="AC85" i="52"/>
  <c r="AB85" i="52"/>
  <c r="AA85" i="52"/>
  <c r="Z85" i="52"/>
  <c r="Y85" i="52"/>
  <c r="X85" i="52"/>
  <c r="W85" i="52"/>
  <c r="V85" i="52"/>
  <c r="U85" i="52"/>
  <c r="T85" i="52"/>
  <c r="S85" i="52"/>
  <c r="R85" i="52"/>
  <c r="Q85" i="52"/>
  <c r="P85" i="52"/>
  <c r="O85" i="52"/>
  <c r="N85" i="52"/>
  <c r="M85" i="52"/>
  <c r="L85" i="52"/>
  <c r="K85" i="52"/>
  <c r="J85" i="52"/>
  <c r="I85" i="52"/>
  <c r="H85" i="52"/>
  <c r="G85" i="52"/>
  <c r="F85" i="52"/>
  <c r="E85" i="52"/>
  <c r="D85" i="52"/>
  <c r="AO84" i="52"/>
  <c r="AN84" i="52"/>
  <c r="AM84" i="52"/>
  <c r="AL84" i="52"/>
  <c r="AK84" i="52"/>
  <c r="AJ84" i="52"/>
  <c r="AI84" i="52"/>
  <c r="AH84" i="52"/>
  <c r="AG84" i="52"/>
  <c r="AF84" i="52"/>
  <c r="AE84" i="52"/>
  <c r="AD84" i="52"/>
  <c r="AC84" i="52"/>
  <c r="AB84" i="52"/>
  <c r="AA84" i="52"/>
  <c r="Z84" i="52"/>
  <c r="Y84" i="52"/>
  <c r="X84" i="52"/>
  <c r="W84" i="52"/>
  <c r="V84" i="52"/>
  <c r="U84" i="52"/>
  <c r="T84" i="52"/>
  <c r="S84" i="52"/>
  <c r="R84" i="52"/>
  <c r="Q84" i="52"/>
  <c r="P84" i="52"/>
  <c r="O84" i="52"/>
  <c r="N84" i="52"/>
  <c r="M84" i="52"/>
  <c r="L84" i="52"/>
  <c r="K84" i="52"/>
  <c r="J84" i="52"/>
  <c r="I84" i="52"/>
  <c r="H84" i="52"/>
  <c r="G84" i="52"/>
  <c r="F84" i="52"/>
  <c r="E84" i="52"/>
  <c r="D84" i="52"/>
  <c r="AO83" i="52"/>
  <c r="AN83" i="52"/>
  <c r="AM83" i="52"/>
  <c r="AL83" i="52"/>
  <c r="AK83" i="52"/>
  <c r="AJ83" i="52"/>
  <c r="AI83" i="52"/>
  <c r="AH83" i="52"/>
  <c r="AG83" i="52"/>
  <c r="AF83" i="52"/>
  <c r="AE83" i="52"/>
  <c r="AD83" i="52"/>
  <c r="AC83" i="52"/>
  <c r="AB83" i="52"/>
  <c r="AA83" i="52"/>
  <c r="Z83" i="52"/>
  <c r="Y83" i="52"/>
  <c r="X83" i="52"/>
  <c r="W83" i="52"/>
  <c r="V83" i="52"/>
  <c r="U83" i="52"/>
  <c r="T83" i="52"/>
  <c r="S83" i="52"/>
  <c r="R83" i="52"/>
  <c r="Q83" i="52"/>
  <c r="P83" i="52"/>
  <c r="O83" i="52"/>
  <c r="N83" i="52"/>
  <c r="M83" i="52"/>
  <c r="L83" i="52"/>
  <c r="K83" i="52"/>
  <c r="J83" i="52"/>
  <c r="I83" i="52"/>
  <c r="H83" i="52"/>
  <c r="G83" i="52"/>
  <c r="F83" i="52"/>
  <c r="E83" i="52"/>
  <c r="D83" i="52"/>
  <c r="AO82" i="52"/>
  <c r="AN82" i="52"/>
  <c r="AM82" i="52"/>
  <c r="AL82" i="52"/>
  <c r="AK82" i="52"/>
  <c r="AJ82" i="52"/>
  <c r="AI82" i="52"/>
  <c r="AH82" i="52"/>
  <c r="AG82" i="52"/>
  <c r="AF82" i="52"/>
  <c r="AE82" i="52"/>
  <c r="AD82" i="52"/>
  <c r="AC82" i="52"/>
  <c r="AB82" i="52"/>
  <c r="AA82" i="52"/>
  <c r="Z82" i="52"/>
  <c r="Y82" i="52"/>
  <c r="X82" i="52"/>
  <c r="W82" i="52"/>
  <c r="V82" i="52"/>
  <c r="U82" i="52"/>
  <c r="T82" i="52"/>
  <c r="S82" i="52"/>
  <c r="R82" i="52"/>
  <c r="Q82" i="52"/>
  <c r="P82" i="52"/>
  <c r="O82" i="52"/>
  <c r="N82" i="52"/>
  <c r="M82" i="52"/>
  <c r="L82" i="52"/>
  <c r="K82" i="52"/>
  <c r="J82" i="52"/>
  <c r="I82" i="52"/>
  <c r="H82" i="52"/>
  <c r="G82" i="52"/>
  <c r="F82" i="52"/>
  <c r="E82" i="52"/>
  <c r="D82" i="52"/>
  <c r="AO81" i="52"/>
  <c r="AN81" i="52"/>
  <c r="AM81" i="52"/>
  <c r="AL81" i="52"/>
  <c r="AK81" i="52"/>
  <c r="AJ81" i="52"/>
  <c r="AI81" i="52"/>
  <c r="AH81" i="52"/>
  <c r="AG81" i="52"/>
  <c r="AF81" i="52"/>
  <c r="AE81" i="52"/>
  <c r="AD81" i="52"/>
  <c r="AC81" i="52"/>
  <c r="AB81" i="52"/>
  <c r="AA81" i="52"/>
  <c r="Z81" i="52"/>
  <c r="Y81" i="52"/>
  <c r="X81" i="52"/>
  <c r="W81" i="52"/>
  <c r="V81" i="52"/>
  <c r="U81" i="52"/>
  <c r="T81" i="52"/>
  <c r="S81" i="52"/>
  <c r="R81" i="52"/>
  <c r="Q81" i="52"/>
  <c r="P81" i="52"/>
  <c r="O81" i="52"/>
  <c r="N81" i="52"/>
  <c r="M81" i="52"/>
  <c r="L81" i="52"/>
  <c r="K81" i="52"/>
  <c r="J81" i="52"/>
  <c r="I81" i="52"/>
  <c r="H81" i="52"/>
  <c r="G81" i="52"/>
  <c r="F81" i="52"/>
  <c r="E81" i="52"/>
  <c r="D81" i="52"/>
  <c r="H11" i="49"/>
  <c r="H12" i="49"/>
  <c r="H13" i="49"/>
  <c r="H14" i="49"/>
  <c r="H15" i="49"/>
  <c r="H16" i="49"/>
  <c r="H17" i="49"/>
  <c r="H10" i="49"/>
  <c r="G11" i="49"/>
  <c r="G12" i="49"/>
  <c r="G13" i="49"/>
  <c r="G14" i="49"/>
  <c r="G15" i="49"/>
  <c r="G16" i="49"/>
  <c r="G17" i="49"/>
  <c r="G10" i="49"/>
  <c r="G9" i="49"/>
  <c r="G8" i="49"/>
  <c r="G7" i="49"/>
  <c r="G6" i="49"/>
  <c r="G5" i="49"/>
  <c r="G4" i="49"/>
  <c r="H11" i="46"/>
  <c r="H12" i="46"/>
  <c r="H13" i="46"/>
  <c r="H14" i="46"/>
  <c r="H15" i="46"/>
  <c r="H16" i="46"/>
  <c r="H17" i="46"/>
  <c r="H10" i="46"/>
  <c r="G11" i="46" l="1"/>
  <c r="G12" i="46"/>
  <c r="G13" i="46"/>
  <c r="G14" i="46"/>
  <c r="G15" i="46"/>
  <c r="G16" i="46"/>
  <c r="G17" i="46"/>
  <c r="G10" i="46"/>
  <c r="G4" i="46"/>
  <c r="G9" i="46"/>
  <c r="G8" i="46"/>
  <c r="G7" i="46"/>
  <c r="G6" i="46"/>
  <c r="G5" i="46"/>
  <c r="I11" i="31" l="1"/>
  <c r="I12" i="31"/>
  <c r="I13" i="31"/>
  <c r="I14" i="31"/>
  <c r="I15" i="31"/>
  <c r="I16" i="31"/>
  <c r="I17" i="31"/>
  <c r="I10" i="31"/>
  <c r="H11" i="31"/>
  <c r="H12" i="31"/>
  <c r="H13" i="31"/>
  <c r="H14" i="31"/>
  <c r="H15" i="31"/>
  <c r="H16" i="31"/>
  <c r="H17" i="31"/>
  <c r="H10" i="31"/>
  <c r="H8" i="31"/>
  <c r="I10" i="32"/>
  <c r="I11" i="32"/>
  <c r="I12" i="32"/>
  <c r="I13" i="32"/>
  <c r="I14" i="32"/>
  <c r="I15" i="32"/>
  <c r="I16" i="32"/>
  <c r="I9" i="32"/>
  <c r="H10" i="32"/>
  <c r="H11" i="32"/>
  <c r="H12" i="32"/>
  <c r="H13" i="32"/>
  <c r="H14" i="32"/>
  <c r="H15" i="32"/>
  <c r="H16" i="32"/>
  <c r="H9" i="32"/>
  <c r="H8" i="32"/>
  <c r="H7" i="32"/>
  <c r="I11" i="39"/>
  <c r="I12" i="39"/>
  <c r="I13" i="39"/>
  <c r="I14" i="39"/>
  <c r="I15" i="39"/>
  <c r="I16" i="39"/>
  <c r="I17" i="39"/>
  <c r="I10" i="39"/>
  <c r="H11" i="39"/>
  <c r="H12" i="39"/>
  <c r="H13" i="39"/>
  <c r="H14" i="39"/>
  <c r="H15" i="39"/>
  <c r="H16" i="39"/>
  <c r="H17" i="39"/>
  <c r="H10" i="39"/>
  <c r="H8" i="39"/>
  <c r="I11" i="43"/>
  <c r="I12" i="43"/>
  <c r="I13" i="43"/>
  <c r="I14" i="43"/>
  <c r="I15" i="43"/>
  <c r="I16" i="43"/>
  <c r="I17" i="43"/>
  <c r="I10" i="43"/>
  <c r="H11" i="43"/>
  <c r="H12" i="43"/>
  <c r="H13" i="43"/>
  <c r="H14" i="43"/>
  <c r="H15" i="43"/>
  <c r="H16" i="43"/>
  <c r="H17" i="43"/>
  <c r="H10" i="43"/>
  <c r="H8" i="43"/>
  <c r="H4" i="31" l="1"/>
  <c r="H11" i="21"/>
  <c r="H12" i="21"/>
  <c r="H13" i="21"/>
  <c r="H14" i="21"/>
  <c r="H15" i="21"/>
  <c r="H16" i="21"/>
  <c r="H17" i="21"/>
  <c r="H10" i="21"/>
  <c r="H4" i="21"/>
  <c r="H5" i="43"/>
  <c r="H6" i="43"/>
  <c r="H7" i="43"/>
  <c r="H9" i="43"/>
  <c r="I14" i="42"/>
  <c r="I16" i="42"/>
  <c r="H11" i="42"/>
  <c r="I11" i="42" s="1"/>
  <c r="H12" i="42"/>
  <c r="I12" i="42" s="1"/>
  <c r="H13" i="42"/>
  <c r="I13" i="42" s="1"/>
  <c r="H14" i="42"/>
  <c r="H15" i="42"/>
  <c r="I15" i="42" s="1"/>
  <c r="H16" i="42"/>
  <c r="H17" i="42"/>
  <c r="I17" i="42" s="1"/>
  <c r="H10" i="42"/>
  <c r="I10" i="42" s="1"/>
  <c r="H5" i="42"/>
  <c r="H6" i="42"/>
  <c r="H7" i="42"/>
  <c r="H8" i="42"/>
  <c r="H9" i="42"/>
  <c r="H4" i="42"/>
  <c r="I12" i="41"/>
  <c r="H13" i="41"/>
  <c r="I13" i="41" s="1"/>
  <c r="H14" i="41"/>
  <c r="I14" i="41" s="1"/>
  <c r="H15" i="41"/>
  <c r="I15" i="41" s="1"/>
  <c r="H16" i="41"/>
  <c r="I16" i="41" s="1"/>
  <c r="H17" i="41"/>
  <c r="I17" i="41" s="1"/>
  <c r="H18" i="41"/>
  <c r="I18" i="41" s="1"/>
  <c r="H19" i="41"/>
  <c r="I19" i="41" s="1"/>
  <c r="H12" i="41"/>
  <c r="H7" i="41"/>
  <c r="H8" i="41"/>
  <c r="H9" i="41"/>
  <c r="H10" i="41"/>
  <c r="H11" i="41"/>
  <c r="H6" i="41"/>
  <c r="D5" i="41"/>
  <c r="D4" i="41"/>
  <c r="I11" i="40"/>
  <c r="I12" i="40"/>
  <c r="I13" i="40"/>
  <c r="I14" i="40"/>
  <c r="I15" i="40"/>
  <c r="I16" i="40"/>
  <c r="I17" i="40"/>
  <c r="I10" i="40"/>
  <c r="H11" i="40"/>
  <c r="H12" i="40"/>
  <c r="H13" i="40"/>
  <c r="H14" i="40"/>
  <c r="H15" i="40"/>
  <c r="H16" i="40"/>
  <c r="H17" i="40"/>
  <c r="H10" i="40"/>
  <c r="H5" i="40"/>
  <c r="H6" i="40"/>
  <c r="H7" i="40"/>
  <c r="H8" i="40"/>
  <c r="H9" i="40"/>
  <c r="H4" i="40"/>
  <c r="H5" i="39"/>
  <c r="H6" i="39"/>
  <c r="H7" i="39"/>
  <c r="H9" i="39"/>
  <c r="H4" i="39"/>
  <c r="I11" i="38"/>
  <c r="I12" i="38"/>
  <c r="I13" i="38"/>
  <c r="I14" i="38"/>
  <c r="I15" i="38"/>
  <c r="I16" i="38"/>
  <c r="I17" i="38"/>
  <c r="I10" i="38"/>
  <c r="H11" i="38"/>
  <c r="H12" i="38"/>
  <c r="H13" i="38"/>
  <c r="H14" i="38"/>
  <c r="H15" i="38"/>
  <c r="H16" i="38"/>
  <c r="H17" i="38"/>
  <c r="H10" i="38"/>
  <c r="H5" i="38"/>
  <c r="H6" i="38"/>
  <c r="H7" i="38"/>
  <c r="H8" i="38"/>
  <c r="H9" i="38"/>
  <c r="H4" i="38"/>
  <c r="I11" i="37"/>
  <c r="I12" i="37"/>
  <c r="I13" i="37"/>
  <c r="I14" i="37"/>
  <c r="I15" i="37"/>
  <c r="I16" i="37"/>
  <c r="I17" i="37"/>
  <c r="I10" i="37"/>
  <c r="H11" i="37"/>
  <c r="H12" i="37"/>
  <c r="H13" i="37"/>
  <c r="H14" i="37"/>
  <c r="H15" i="37"/>
  <c r="H16" i="37"/>
  <c r="H17" i="37"/>
  <c r="H10" i="37"/>
  <c r="H5" i="37"/>
  <c r="H6" i="37"/>
  <c r="H7" i="37"/>
  <c r="H8" i="37"/>
  <c r="H9" i="37"/>
  <c r="H4" i="37"/>
  <c r="I11" i="36"/>
  <c r="I12" i="36"/>
  <c r="I13" i="36"/>
  <c r="I14" i="36"/>
  <c r="I15" i="36"/>
  <c r="I16" i="36"/>
  <c r="I17" i="36"/>
  <c r="I10" i="36"/>
  <c r="H11" i="36"/>
  <c r="H12" i="36"/>
  <c r="H13" i="36"/>
  <c r="H14" i="36"/>
  <c r="H15" i="36"/>
  <c r="H16" i="36"/>
  <c r="H17" i="36"/>
  <c r="H10" i="36"/>
  <c r="H5" i="36"/>
  <c r="H6" i="36"/>
  <c r="H7" i="36"/>
  <c r="H8" i="36"/>
  <c r="H9" i="36"/>
  <c r="H4" i="36"/>
  <c r="I10" i="35"/>
  <c r="I11" i="35"/>
  <c r="I12" i="35"/>
  <c r="I13" i="35"/>
  <c r="I14" i="35"/>
  <c r="I15" i="35"/>
  <c r="I16" i="35"/>
  <c r="I9" i="35"/>
  <c r="H10" i="35"/>
  <c r="H11" i="35"/>
  <c r="H12" i="35"/>
  <c r="H13" i="35"/>
  <c r="H14" i="35"/>
  <c r="H15" i="35"/>
  <c r="H16" i="35"/>
  <c r="H9" i="35"/>
  <c r="H4" i="35"/>
  <c r="H5" i="35"/>
  <c r="H6" i="35"/>
  <c r="H7" i="35"/>
  <c r="H8" i="35"/>
  <c r="H3" i="35"/>
  <c r="I10" i="34"/>
  <c r="I11" i="34"/>
  <c r="I12" i="34"/>
  <c r="I13" i="34"/>
  <c r="I14" i="34"/>
  <c r="I15" i="34"/>
  <c r="I16" i="34"/>
  <c r="I9" i="34"/>
  <c r="H10" i="34"/>
  <c r="H11" i="34"/>
  <c r="H12" i="34"/>
  <c r="H13" i="34"/>
  <c r="H14" i="34"/>
  <c r="H15" i="34"/>
  <c r="H16" i="34"/>
  <c r="H9" i="34"/>
  <c r="H4" i="34"/>
  <c r="H5" i="34"/>
  <c r="H6" i="34"/>
  <c r="H7" i="34"/>
  <c r="H8" i="34"/>
  <c r="H3" i="34"/>
  <c r="I11" i="33"/>
  <c r="I12" i="33"/>
  <c r="I13" i="33"/>
  <c r="I14" i="33"/>
  <c r="I15" i="33"/>
  <c r="I16" i="33"/>
  <c r="I17" i="33"/>
  <c r="I10" i="33"/>
  <c r="H11" i="33"/>
  <c r="H12" i="33"/>
  <c r="H13" i="33"/>
  <c r="H14" i="33"/>
  <c r="H15" i="33"/>
  <c r="H16" i="33"/>
  <c r="H17" i="33"/>
  <c r="H10" i="33"/>
  <c r="H5" i="33"/>
  <c r="H6" i="33"/>
  <c r="H7" i="33"/>
  <c r="H8" i="33"/>
  <c r="H9" i="33"/>
  <c r="H4" i="33"/>
  <c r="H4" i="32"/>
  <c r="H5" i="32"/>
  <c r="H6" i="32"/>
  <c r="H3" i="32"/>
  <c r="H5" i="31"/>
  <c r="H6" i="31"/>
  <c r="H7" i="31"/>
  <c r="H9" i="31"/>
  <c r="I11" i="30"/>
  <c r="I12" i="30"/>
  <c r="I13" i="30"/>
  <c r="I14" i="30"/>
  <c r="I15" i="30"/>
  <c r="I16" i="30"/>
  <c r="I17" i="30"/>
  <c r="I10" i="30"/>
  <c r="H11" i="30"/>
  <c r="H12" i="30"/>
  <c r="H13" i="30"/>
  <c r="H14" i="30"/>
  <c r="H15" i="30"/>
  <c r="H16" i="30"/>
  <c r="H17" i="30"/>
  <c r="H10" i="30"/>
  <c r="H5" i="30"/>
  <c r="H6" i="30"/>
  <c r="H7" i="30"/>
  <c r="H8" i="30"/>
  <c r="H9" i="30"/>
  <c r="H4" i="30"/>
  <c r="I11" i="29"/>
  <c r="I12" i="29"/>
  <c r="I13" i="29"/>
  <c r="I14" i="29"/>
  <c r="I15" i="29"/>
  <c r="I16" i="29"/>
  <c r="I17" i="29"/>
  <c r="I10" i="29"/>
  <c r="H11" i="29"/>
  <c r="H12" i="29"/>
  <c r="H13" i="29"/>
  <c r="H14" i="29"/>
  <c r="H15" i="29"/>
  <c r="H16" i="29"/>
  <c r="H17" i="29"/>
  <c r="H10" i="29"/>
  <c r="H4" i="29"/>
  <c r="H5" i="29"/>
  <c r="H6" i="29"/>
  <c r="H7" i="29"/>
  <c r="H8" i="29"/>
  <c r="H9" i="29"/>
  <c r="I13" i="28"/>
  <c r="I14" i="28"/>
  <c r="I15" i="28"/>
  <c r="I16" i="28"/>
  <c r="I17" i="28"/>
  <c r="I18" i="28"/>
  <c r="I19" i="28"/>
  <c r="I12" i="28"/>
  <c r="H13" i="28"/>
  <c r="H14" i="28"/>
  <c r="H15" i="28"/>
  <c r="H16" i="28"/>
  <c r="H17" i="28"/>
  <c r="H18" i="28"/>
  <c r="H19" i="28"/>
  <c r="H12" i="28"/>
  <c r="H7" i="28"/>
  <c r="H8" i="28"/>
  <c r="H9" i="28"/>
  <c r="H10" i="28"/>
  <c r="H11" i="28"/>
  <c r="H6" i="28"/>
  <c r="D5" i="28" l="1"/>
  <c r="H5" i="28" s="1"/>
  <c r="D4" i="28"/>
  <c r="H4" i="28" s="1"/>
  <c r="I11" i="27"/>
  <c r="I12" i="27"/>
  <c r="I13" i="27"/>
  <c r="I14" i="27"/>
  <c r="I15" i="27"/>
  <c r="I16" i="27"/>
  <c r="I17" i="27"/>
  <c r="I10" i="27"/>
  <c r="H11" i="27"/>
  <c r="H12" i="27"/>
  <c r="H13" i="27"/>
  <c r="H14" i="27"/>
  <c r="H15" i="27"/>
  <c r="H16" i="27"/>
  <c r="H17" i="27"/>
  <c r="H10" i="27"/>
  <c r="H10" i="26"/>
  <c r="H5" i="27"/>
  <c r="H6" i="27"/>
  <c r="H7" i="27"/>
  <c r="H8" i="27"/>
  <c r="H9" i="27"/>
  <c r="H4" i="27"/>
  <c r="I11" i="26" l="1"/>
  <c r="I12" i="26"/>
  <c r="I13" i="26"/>
  <c r="I14" i="26"/>
  <c r="I15" i="26"/>
  <c r="I16" i="26"/>
  <c r="I17" i="26"/>
  <c r="I10" i="26"/>
  <c r="H11" i="26"/>
  <c r="H12" i="26"/>
  <c r="H13" i="26"/>
  <c r="H14" i="26"/>
  <c r="H15" i="26"/>
  <c r="H16" i="26"/>
  <c r="H17" i="26"/>
  <c r="H5" i="26" l="1"/>
  <c r="H6" i="26"/>
  <c r="H7" i="26"/>
  <c r="H8" i="26"/>
  <c r="H9" i="26"/>
  <c r="H4" i="26"/>
  <c r="I11" i="25"/>
  <c r="I12" i="25"/>
  <c r="I13" i="25"/>
  <c r="I14" i="25"/>
  <c r="I15" i="25"/>
  <c r="I16" i="25"/>
  <c r="I17" i="25"/>
  <c r="I10" i="25"/>
  <c r="H11" i="25"/>
  <c r="H12" i="25"/>
  <c r="H13" i="25"/>
  <c r="H14" i="25"/>
  <c r="H15" i="25"/>
  <c r="H16" i="25"/>
  <c r="H17" i="25"/>
  <c r="H10" i="25"/>
  <c r="H4" i="25" l="1"/>
  <c r="H9" i="25" l="1"/>
  <c r="H8" i="25"/>
  <c r="H7" i="25"/>
  <c r="H6" i="25"/>
  <c r="H5" i="25"/>
  <c r="H5" i="21"/>
  <c r="H6" i="21"/>
  <c r="H7" i="21"/>
  <c r="H8" i="21"/>
  <c r="H9" i="21"/>
</calcChain>
</file>

<file path=xl/sharedStrings.xml><?xml version="1.0" encoding="utf-8"?>
<sst xmlns="http://schemas.openxmlformats.org/spreadsheetml/2006/main" count="2079" uniqueCount="194">
  <si>
    <t>год</t>
  </si>
  <si>
    <t>Население</t>
  </si>
  <si>
    <t>Абсолютная заболеваемость</t>
  </si>
  <si>
    <t>офтальмологи</t>
  </si>
  <si>
    <t xml:space="preserve">отоларингологи </t>
  </si>
  <si>
    <t>психиатры</t>
  </si>
  <si>
    <t>пульмонологи</t>
  </si>
  <si>
    <t>травматологи-ортопеды</t>
  </si>
  <si>
    <t>эндокринологи</t>
  </si>
  <si>
    <t>нефрологи</t>
  </si>
  <si>
    <t>невропатологи</t>
  </si>
  <si>
    <t>кардиологи</t>
  </si>
  <si>
    <t>инфекционисты</t>
  </si>
  <si>
    <t>дерматовенерологи</t>
  </si>
  <si>
    <t>генетики</t>
  </si>
  <si>
    <t>гематологи</t>
  </si>
  <si>
    <t>Посещаемость по 30</t>
  </si>
  <si>
    <t>Индекс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</si>
  <si>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</si>
  <si>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</si>
  <si>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</si>
  <si>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</si>
  <si>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</si>
  <si>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</si>
  <si>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</si>
  <si>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</si>
  <si>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</si>
  <si>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</si>
  <si>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</si>
  <si>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</si>
  <si>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</si>
  <si>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</si>
  <si>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</si>
  <si>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</si>
  <si>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</si>
  <si>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</si>
  <si>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</si>
  <si>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</si>
  <si>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</si>
  <si>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</si>
  <si>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</si>
  <si>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</si>
  <si>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</si>
  <si>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Переменная X 2</t>
  </si>
  <si>
    <t>Итого заболеваемость с учетом индекса</t>
  </si>
  <si>
    <t>ВРАЧИ</t>
  </si>
  <si>
    <t xml:space="preserve">Прогнозирование </t>
  </si>
  <si>
    <t>Население общее</t>
  </si>
  <si>
    <t>Население детское</t>
  </si>
  <si>
    <t>Население взрослое</t>
  </si>
  <si>
    <t>Население женское (фертильного возраста)</t>
  </si>
  <si>
    <t xml:space="preserve">Посещаемость по 30 </t>
  </si>
  <si>
    <t>ревматологи</t>
  </si>
  <si>
    <t>аллергологи</t>
  </si>
  <si>
    <t>неонатологи</t>
  </si>
  <si>
    <t>онкологи и гематологи детские</t>
  </si>
  <si>
    <t>Население новорожденные</t>
  </si>
  <si>
    <t>гастроэнтерология</t>
  </si>
  <si>
    <t>ангиохирурги</t>
  </si>
  <si>
    <t>2697</t>
  </si>
  <si>
    <t>анестезиологи</t>
  </si>
  <si>
    <t>84320</t>
  </si>
  <si>
    <t>общие хирурги</t>
  </si>
  <si>
    <t>17608</t>
  </si>
  <si>
    <t>детские хирурги</t>
  </si>
  <si>
    <t>4055</t>
  </si>
  <si>
    <t>кардиохирурги</t>
  </si>
  <si>
    <t>8837</t>
  </si>
  <si>
    <t>нейрохирурги</t>
  </si>
  <si>
    <t>2668</t>
  </si>
  <si>
    <t>урологи</t>
  </si>
  <si>
    <t>3427</t>
  </si>
  <si>
    <t>ОБЩЕЕ</t>
  </si>
  <si>
    <t>Всего Население факт</t>
  </si>
  <si>
    <t>Всего Население прогноз</t>
  </si>
  <si>
    <t>№</t>
  </si>
  <si>
    <t>Регион</t>
  </si>
  <si>
    <t>Абайская</t>
  </si>
  <si>
    <t>Акмолинская</t>
  </si>
  <si>
    <t>Актюбинская</t>
  </si>
  <si>
    <t>Алматинская</t>
  </si>
  <si>
    <t>Атырауская</t>
  </si>
  <si>
    <t>ВКО</t>
  </si>
  <si>
    <t xml:space="preserve">Жамбылская </t>
  </si>
  <si>
    <t>Жетысуская</t>
  </si>
  <si>
    <t>ЗКО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</si>
  <si>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</si>
  <si>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</si>
  <si>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</si>
  <si>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</si>
  <si>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</si>
  <si>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СКО</t>
  </si>
  <si>
    <t>Туркестанская</t>
  </si>
  <si>
    <t>Улытауская</t>
  </si>
  <si>
    <t>г. Алматы</t>
  </si>
  <si>
    <t>г. Астана</t>
  </si>
  <si>
    <t>г. Шымкент</t>
  </si>
  <si>
    <t>РК</t>
  </si>
  <si>
    <t>ЖЕНСКОЕ</t>
  </si>
  <si>
    <t>Женское Население факт (15-49 лет)</t>
  </si>
  <si>
    <t>Женское Население прогноз</t>
  </si>
  <si>
    <t>ДЕТСКОЕ</t>
  </si>
  <si>
    <t>Детское Население факт (0-18 лет)</t>
  </si>
  <si>
    <t>Детское Население прогноз</t>
  </si>
  <si>
    <t>ВЗРОСЛОЕ</t>
  </si>
  <si>
    <t>Взрослое Население факт (18+)</t>
  </si>
  <si>
    <t>Взрослое Население прогноз</t>
  </si>
  <si>
    <t>НОВОРОЖДЁННЫЕ</t>
  </si>
  <si>
    <t>Население новорожденных факт</t>
  </si>
  <si>
    <t>новорожденных Население прогноз</t>
  </si>
  <si>
    <t xml:space="preserve">         МЕДИЦИНСКИЕ И ФАРМАЦЕВТИЧЕСКИЕ КАДРЫ ОРГАНИЗАЦИЙ</t>
  </si>
  <si>
    <t xml:space="preserve">Специальности работников с высшим медицинским и фармацевтическим образованием </t>
  </si>
  <si>
    <t>Наименование</t>
  </si>
  <si>
    <t>ведомства</t>
  </si>
  <si>
    <t>сводздрав</t>
  </si>
  <si>
    <t>частные</t>
  </si>
  <si>
    <t>акушер-гинекологи</t>
  </si>
  <si>
    <t>Акушеры-гинекологи</t>
  </si>
  <si>
    <t>аллергология и иммунология</t>
  </si>
  <si>
    <t xml:space="preserve"> аллергологи взрослые</t>
  </si>
  <si>
    <t xml:space="preserve"> аллергологи детские</t>
  </si>
  <si>
    <t>Ангиохирурги взрослые</t>
  </si>
  <si>
    <t>Ангиохирурги детские</t>
  </si>
  <si>
    <t>Анестезиологи-реаниматологи взрослые</t>
  </si>
  <si>
    <t>Анестезиологи-реаниматологи детские</t>
  </si>
  <si>
    <t>гастроэнтерологи</t>
  </si>
  <si>
    <t xml:space="preserve"> гастроэнтерологи взрослые</t>
  </si>
  <si>
    <t xml:space="preserve"> гастроэнтерологи детские</t>
  </si>
  <si>
    <t>гематологи взрослые</t>
  </si>
  <si>
    <t xml:space="preserve"> гематологи взрослые</t>
  </si>
  <si>
    <t>дерматологи</t>
  </si>
  <si>
    <t>Дерматовенерологи взрослые</t>
  </si>
  <si>
    <t>Дерматовенерологи детские</t>
  </si>
  <si>
    <t xml:space="preserve"> инфекционисты взрослые</t>
  </si>
  <si>
    <t xml:space="preserve"> инфекционисты детские</t>
  </si>
  <si>
    <t xml:space="preserve"> кардиологи взрослые</t>
  </si>
  <si>
    <t xml:space="preserve"> кардиологи детские</t>
  </si>
  <si>
    <t>кардиохирурги (взрослые+детски)</t>
  </si>
  <si>
    <t>Кардиохирурги взрослые</t>
  </si>
  <si>
    <t>Кардиохирурги детские</t>
  </si>
  <si>
    <t>медицинские генетики</t>
  </si>
  <si>
    <t>Генетики</t>
  </si>
  <si>
    <t>неврологи</t>
  </si>
  <si>
    <t>Невропатологи взрослые</t>
  </si>
  <si>
    <t>Невропатологи детские</t>
  </si>
  <si>
    <t>нейрохирурги (взрослые+детские)</t>
  </si>
  <si>
    <t>Нейрохирурги взрослые</t>
  </si>
  <si>
    <t>Нейрохирурги детские</t>
  </si>
  <si>
    <t>Неонатологи</t>
  </si>
  <si>
    <t xml:space="preserve"> нефрологи взрослые</t>
  </si>
  <si>
    <t xml:space="preserve"> нефрологи детские</t>
  </si>
  <si>
    <t>общая хирургия</t>
  </si>
  <si>
    <t>Хирурги, всего</t>
  </si>
  <si>
    <t>онкологи взрослые</t>
  </si>
  <si>
    <t>Онкологи взрослые</t>
  </si>
  <si>
    <t>Онкологи детские</t>
  </si>
  <si>
    <t xml:space="preserve"> гематологи детские</t>
  </si>
  <si>
    <t>отоларингологи</t>
  </si>
  <si>
    <t>Отоларингологи взрослые</t>
  </si>
  <si>
    <t>Отоларингологи детские</t>
  </si>
  <si>
    <t>Офтальмологи взрослые</t>
  </si>
  <si>
    <t>Офтальмологи детские</t>
  </si>
  <si>
    <t xml:space="preserve">                     психиатры взрослые</t>
  </si>
  <si>
    <t xml:space="preserve">                     психиатры детские</t>
  </si>
  <si>
    <t xml:space="preserve"> пульмонологи взрослые</t>
  </si>
  <si>
    <t xml:space="preserve"> пульмонологи детские</t>
  </si>
  <si>
    <t xml:space="preserve"> ревматологи взрослые</t>
  </si>
  <si>
    <t xml:space="preserve"> ревматологи детские</t>
  </si>
  <si>
    <t>травматологи</t>
  </si>
  <si>
    <t>Травматологи-ортопеды взрослые</t>
  </si>
  <si>
    <t>Травматологи-ортопеды детские</t>
  </si>
  <si>
    <t xml:space="preserve">Урологи взрослые </t>
  </si>
  <si>
    <t>Урологи детские</t>
  </si>
  <si>
    <t>хирурги детские</t>
  </si>
  <si>
    <t>Хирурги детские</t>
  </si>
  <si>
    <t xml:space="preserve"> эндокринологи взрослые </t>
  </si>
  <si>
    <t xml:space="preserve"> эндокринологи детские</t>
  </si>
  <si>
    <t>12 форма</t>
  </si>
  <si>
    <t xml:space="preserve">ЗАБОЛЕВАЕМОСТЬ </t>
  </si>
  <si>
    <t>Операции на сосудах (кроме сосудов сердца)</t>
  </si>
  <si>
    <t>ВСЕГО ОПЕРАЦИЙ</t>
  </si>
  <si>
    <t>Операции на сердце (сумма 7.1+7.2)</t>
  </si>
  <si>
    <r>
      <t xml:space="preserve">      в том числе:                                           </t>
    </r>
    <r>
      <rPr>
        <b/>
        <sz val="8"/>
        <rFont val="Times New Roman"/>
        <family val="1"/>
        <charset val="204"/>
      </rPr>
      <t>Операции на нервной системе</t>
    </r>
  </si>
  <si>
    <t>30 форма</t>
  </si>
  <si>
    <t>ПОСЕЩАЕМОСТЬ</t>
  </si>
  <si>
    <t>акушеры-гинекологи</t>
  </si>
  <si>
    <t>аллергологи (иммунологи)</t>
  </si>
  <si>
    <t xml:space="preserve">ангиохирурги </t>
  </si>
  <si>
    <t>хирурги</t>
  </si>
  <si>
    <t>онкологи</t>
  </si>
  <si>
    <t>ОБЩАЯ ЗАБОЛЕВАЕМОСТЬ С УЧЕТОМ ИНДЕКСА</t>
  </si>
  <si>
    <t xml:space="preserve">население </t>
  </si>
  <si>
    <t>Наименование специальности</t>
  </si>
  <si>
    <t>% средний темп прироста (2023/2022)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</si>
</sst>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#,##0.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name val="MS Sans Serif"/>
      <family val="2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Arial Cyr"/>
      <charset val="204"/>
    </font>
    <font>
      <sz val="12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FFFFFF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5F1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E76"/>
      </patternFill>
    </fill>
    <fill>
      <patternFill patternType="solid">
        <fgColor rgb="FF339791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vertical="top"/>
    </xf>
    <xf numFmtId="0" fontId="18" fillId="0" borderId="0"/>
    <xf numFmtId="0" fontId="18" fillId="0" borderId="0"/>
  </cellStyleXfs>
  <cellXfs count="222">
    <xf numFmtId="0" fontId="0" fillId="0" borderId="0" xfId="0"/>
    <xf numFmtId="165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4" xfId="0" applyFont="1" applyBorder="1"/>
    <xf numFmtId="0" fontId="0" fillId="0" borderId="5" xfId="0" applyBorder="1"/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Continuous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3" fontId="3" fillId="4" borderId="1" xfId="0" applyNumberFormat="1" applyFont="1" applyFill="1" applyBorder="1"/>
    <xf numFmtId="0" fontId="3" fillId="4" borderId="1" xfId="0" applyFont="1" applyFill="1" applyBorder="1"/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66" fontId="3" fillId="4" borderId="1" xfId="1" applyNumberFormat="1" applyFont="1" applyFill="1" applyBorder="1"/>
    <xf numFmtId="1" fontId="9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Continuous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6" fontId="3" fillId="2" borderId="1" xfId="1" applyNumberFormat="1" applyFont="1" applyFill="1" applyBorder="1"/>
    <xf numFmtId="3" fontId="3" fillId="2" borderId="1" xfId="0" applyNumberFormat="1" applyFont="1" applyFill="1" applyBorder="1"/>
    <xf numFmtId="0" fontId="3" fillId="2" borderId="1" xfId="0" applyFont="1" applyFill="1" applyBorder="1"/>
    <xf numFmtId="0" fontId="6" fillId="0" borderId="9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/>
    </xf>
    <xf numFmtId="1" fontId="0" fillId="5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1" fontId="9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166" fontId="7" fillId="0" borderId="1" xfId="1" applyNumberFormat="1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/>
    <xf numFmtId="1" fontId="2" fillId="5" borderId="1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" fontId="7" fillId="7" borderId="1" xfId="0" applyNumberFormat="1" applyFont="1" applyFill="1" applyBorder="1" applyAlignment="1">
      <alignment horizontal="center" vertical="center"/>
    </xf>
    <xf numFmtId="1" fontId="0" fillId="7" borderId="1" xfId="0" applyNumberFormat="1" applyFill="1" applyBorder="1"/>
    <xf numFmtId="1" fontId="0" fillId="7" borderId="1" xfId="0" applyNumberForma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 wrapText="1"/>
    </xf>
    <xf numFmtId="0" fontId="0" fillId="5" borderId="0" xfId="0" applyFill="1" applyAlignment="1">
      <alignment horizontal="center"/>
    </xf>
    <xf numFmtId="3" fontId="3" fillId="5" borderId="1" xfId="0" applyNumberFormat="1" applyFont="1" applyFill="1" applyBorder="1"/>
    <xf numFmtId="3" fontId="2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center" vertical="center" wrapText="1"/>
    </xf>
    <xf numFmtId="166" fontId="3" fillId="5" borderId="1" xfId="1" applyNumberFormat="1" applyFont="1" applyFill="1" applyBorder="1"/>
    <xf numFmtId="0" fontId="3" fillId="5" borderId="1" xfId="0" applyFont="1" applyFill="1" applyBorder="1"/>
    <xf numFmtId="49" fontId="4" fillId="0" borderId="1" xfId="3" applyNumberFormat="1" applyFont="1" applyBorder="1" applyAlignment="1">
      <alignment horizontal="center" wrapText="1"/>
    </xf>
    <xf numFmtId="3" fontId="19" fillId="0" borderId="2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0" fillId="8" borderId="0" xfId="0" applyFill="1"/>
    <xf numFmtId="3" fontId="0" fillId="0" borderId="0" xfId="0" applyNumberFormat="1"/>
    <xf numFmtId="0" fontId="20" fillId="0" borderId="1" xfId="0" applyFont="1" applyBorder="1"/>
    <xf numFmtId="1" fontId="21" fillId="9" borderId="1" xfId="0" applyNumberFormat="1" applyFont="1" applyFill="1" applyBorder="1" applyAlignment="1">
      <alignment horizontal="right" vertical="top" shrinkToFit="1"/>
    </xf>
    <xf numFmtId="1" fontId="21" fillId="10" borderId="1" xfId="0" applyNumberFormat="1" applyFont="1" applyFill="1" applyBorder="1" applyAlignment="1">
      <alignment horizontal="right" vertical="top" shrinkToFit="1"/>
    </xf>
    <xf numFmtId="3" fontId="3" fillId="4" borderId="0" xfId="0" applyNumberFormat="1" applyFont="1" applyFill="1"/>
    <xf numFmtId="166" fontId="3" fillId="4" borderId="1" xfId="1" applyNumberFormat="1" applyFont="1" applyFill="1" applyBorder="1" applyAlignment="1">
      <alignment horizontal="center" vertical="center" wrapText="1"/>
    </xf>
    <xf numFmtId="0" fontId="20" fillId="4" borderId="1" xfId="0" applyFont="1" applyFill="1" applyBorder="1"/>
    <xf numFmtId="0" fontId="3" fillId="11" borderId="0" xfId="0" applyFont="1" applyFill="1"/>
    <xf numFmtId="1" fontId="21" fillId="9" borderId="10" xfId="0" applyNumberFormat="1" applyFont="1" applyFill="1" applyBorder="1" applyAlignment="1">
      <alignment horizontal="center" vertical="top" shrinkToFit="1"/>
    </xf>
    <xf numFmtId="1" fontId="21" fillId="10" borderId="10" xfId="0" applyNumberFormat="1" applyFont="1" applyFill="1" applyBorder="1" applyAlignment="1">
      <alignment horizontal="center" vertical="top" shrinkToFit="1"/>
    </xf>
    <xf numFmtId="3" fontId="3" fillId="2" borderId="0" xfId="0" applyNumberFormat="1" applyFont="1" applyFill="1"/>
    <xf numFmtId="166" fontId="3" fillId="2" borderId="1" xfId="1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top" wrapText="1"/>
    </xf>
    <xf numFmtId="1" fontId="21" fillId="9" borderId="1" xfId="0" applyNumberFormat="1" applyFont="1" applyFill="1" applyBorder="1" applyAlignment="1">
      <alignment horizontal="center" vertical="top" shrinkToFit="1"/>
    </xf>
    <xf numFmtId="1" fontId="21" fillId="10" borderId="1" xfId="0" applyNumberFormat="1" applyFont="1" applyFill="1" applyBorder="1" applyAlignment="1">
      <alignment horizontal="center" vertical="top" shrinkToFit="1"/>
    </xf>
    <xf numFmtId="166" fontId="12" fillId="2" borderId="1" xfId="1" applyNumberFormat="1" applyFont="1" applyFill="1" applyBorder="1"/>
    <xf numFmtId="3" fontId="12" fillId="2" borderId="1" xfId="0" applyNumberFormat="1" applyFont="1" applyFill="1" applyBorder="1"/>
    <xf numFmtId="0" fontId="12" fillId="2" borderId="1" xfId="0" applyFont="1" applyFill="1" applyBorder="1"/>
    <xf numFmtId="0" fontId="6" fillId="0" borderId="0" xfId="0" applyFont="1" applyAlignment="1">
      <alignment horizontal="center" vertical="top" wrapText="1"/>
    </xf>
    <xf numFmtId="0" fontId="20" fillId="0" borderId="1" xfId="0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0" xfId="0" applyFont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2" fillId="0" borderId="8" xfId="0" applyFont="1" applyBorder="1" applyAlignment="1">
      <alignment vertical="center" textRotation="90"/>
    </xf>
    <xf numFmtId="0" fontId="13" fillId="0" borderId="1" xfId="0" applyFont="1" applyBorder="1" applyAlignment="1">
      <alignment vertical="top"/>
    </xf>
    <xf numFmtId="0" fontId="4" fillId="0" borderId="1" xfId="2" applyNumberFormat="1" applyFont="1" applyFill="1" applyBorder="1" applyAlignment="1" applyProtection="1">
      <alignment horizontal="center"/>
    </xf>
    <xf numFmtId="0" fontId="4" fillId="6" borderId="1" xfId="2" applyNumberFormat="1" applyFont="1" applyFill="1" applyBorder="1" applyAlignment="1" applyProtection="1">
      <alignment horizontal="center"/>
    </xf>
    <xf numFmtId="0" fontId="4" fillId="5" borderId="1" xfId="2" applyNumberFormat="1" applyFont="1" applyFill="1" applyBorder="1" applyAlignment="1" applyProtection="1">
      <alignment horizontal="center"/>
    </xf>
    <xf numFmtId="0" fontId="4" fillId="0" borderId="3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6" borderId="7" xfId="0" applyFont="1" applyFill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0" fontId="4" fillId="6" borderId="1" xfId="2" applyNumberFormat="1" applyFont="1" applyFill="1" applyBorder="1" applyAlignment="1" applyProtection="1">
      <alignment horizontal="center" vertical="center" wrapText="1"/>
    </xf>
    <xf numFmtId="0" fontId="4" fillId="5" borderId="1" xfId="2" applyNumberFormat="1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6" fillId="0" borderId="0" xfId="0" applyNumberFormat="1" applyFont="1" applyAlignment="1">
      <alignment vertical="center" wrapText="1"/>
    </xf>
    <xf numFmtId="0" fontId="20" fillId="6" borderId="1" xfId="0" applyFont="1" applyFill="1" applyBorder="1" applyAlignment="1">
      <alignment horizontal="center" vertical="center" wrapText="1"/>
    </xf>
    <xf numFmtId="1" fontId="20" fillId="6" borderId="2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horizontal="left" vertical="center" wrapText="1"/>
    </xf>
    <xf numFmtId="49" fontId="20" fillId="6" borderId="1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0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4" fillId="0" borderId="8" xfId="3" applyNumberFormat="1" applyFont="1" applyBorder="1" applyAlignment="1">
      <alignment vertical="center" wrapText="1"/>
    </xf>
    <xf numFmtId="49" fontId="14" fillId="0" borderId="8" xfId="4" applyNumberFormat="1" applyFont="1" applyBorder="1" applyAlignment="1">
      <alignment vertical="center" wrapText="1"/>
    </xf>
    <xf numFmtId="49" fontId="13" fillId="0" borderId="8" xfId="4" applyNumberFormat="1" applyFon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3" fontId="23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3" fontId="25" fillId="0" borderId="0" xfId="0" applyNumberFormat="1" applyFont="1" applyAlignment="1">
      <alignment horizontal="right" vertical="center" wrapText="1"/>
    </xf>
    <xf numFmtId="3" fontId="25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7" fillId="2" borderId="1" xfId="0" applyFont="1" applyFill="1" applyBorder="1" applyAlignment="1" applyProtection="1">
      <alignment horizontal="center" vertical="center" wrapText="1"/>
      <protection locked="0"/>
    </xf>
    <xf numFmtId="3" fontId="3" fillId="2" borderId="3" xfId="0" applyNumberFormat="1" applyFont="1" applyFill="1" applyBorder="1" applyAlignment="1">
      <alignment horizontal="center" vertical="center" wrapText="1"/>
    </xf>
    <xf numFmtId="3" fontId="27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1" fontId="23" fillId="2" borderId="1" xfId="0" applyNumberFormat="1" applyFont="1" applyFill="1" applyBorder="1" applyAlignment="1">
      <alignment horizontal="center" wrapText="1"/>
    </xf>
    <xf numFmtId="0" fontId="0" fillId="5" borderId="0" xfId="0" applyFill="1" applyAlignment="1">
      <alignment vertical="center" wrapText="1"/>
    </xf>
    <xf numFmtId="3" fontId="0" fillId="5" borderId="0" xfId="0" applyNumberFormat="1" applyFill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49" fontId="19" fillId="0" borderId="1" xfId="3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vertical="center" wrapText="1"/>
    </xf>
    <xf numFmtId="166" fontId="7" fillId="5" borderId="1" xfId="1" applyNumberFormat="1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Continuous"/>
    </xf>
    <xf numFmtId="0" fontId="9" fillId="11" borderId="1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left"/>
    </xf>
    <xf numFmtId="0" fontId="28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right"/>
    </xf>
    <xf numFmtId="9" fontId="9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5">
    <cellStyle name="Обычный" xfId="0" builtinId="0"/>
    <cellStyle name="Обычный 2" xfId="2"/>
    <cellStyle name="Обычный_14-3-1" xfId="4"/>
    <cellStyle name="Обычный_14-4-1" xfId="3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\&#1054;&#1073;&#1089;&#1077;&#1088;&#1074;&#1072;&#1090;&#1086;&#1088;&#1080;&#1103;\&#1054;&#1060;&#1048;&#1062;&#1048;&#1040;&#1051;&#1068;&#1053;&#1067;&#1045;%20&#1057;&#1058;&#1040;&#1058;&#1044;&#1040;&#1053;&#1053;&#1067;&#1045;\&#1057;&#1058;&#1040;&#1058;&#1060;&#1054;&#1056;&#1052;&#1067;\2022\&#1055;&#1088;&#1080;&#1083;&#1086;&#1078;&#1077;&#1085;&#1080;&#1077;%2019%20(30%20&#1092;&#1086;&#1088;&#1084;&#1072;)%20excel\&#1055;&#1088;&#1080;&#1083;&#1086;&#1078;&#1077;&#1085;&#1080;&#1077;%2019%20(30%20&#1092;&#1086;&#1088;&#1084;&#1072;)%20excel\19%20(30&#1092;)_&#1042;&#1077;&#1076;&#1086;&#1084;&#1089;&#1090;&#1074;&#1072;\19%20(30&#1092;)_&#1052;&#1072;&#1085;&#1075;&#1080;&#1089;&#1090;&#1072;&#1091;&#1089;&#1082;&#1072;&#1103;_&#1074;&#1077;&#1076;&#1086;&#1084;&#1089;&#1090;&#1074;&#107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\&#1054;&#1073;&#1089;&#1077;&#1088;&#1074;&#1072;&#1090;&#1086;&#1088;&#1080;&#1103;\&#1054;&#1060;&#1048;&#1062;&#1048;&#1040;&#1051;&#1068;&#1053;&#1067;&#1045;%20&#1057;&#1058;&#1040;&#1058;&#1044;&#1040;&#1053;&#1053;&#1067;&#1045;\&#1057;&#1058;&#1040;&#1058;&#1060;&#1054;&#1056;&#1052;&#1067;\2022\&#1055;&#1088;&#1080;&#1083;&#1086;&#1078;&#1077;&#1085;&#1080;&#1077;%2019%20(30%20&#1092;&#1086;&#1088;&#1084;&#1072;)%20excel\&#1055;&#1088;&#1080;&#1083;&#1086;&#1078;&#1077;&#1085;&#1080;&#1077;%2019%20(30%20&#1092;&#1086;&#1088;&#1084;&#1072;)%20excel\19%20(30&#1092;)_&#1057;&#1074;&#1086;&#1076;&#1079;&#1076;&#1088;&#1072;&#1074;\19%20(30&#1092;)_&#1052;&#1072;&#1085;&#1075;&#1080;&#1089;&#1090;&#1072;&#1091;&#1089;&#1082;&#1072;&#1103;_&#1089;&#1074;&#1086;&#1076;&#1079;&#1076;&#1088;&#1072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.30(начало)"/>
      <sheetName val="ф.30_0"/>
      <sheetName val="ф.30_1"/>
      <sheetName val="ф.30(прод)"/>
      <sheetName val="ф.30(прод1)"/>
      <sheetName val="ф.30(прод2)"/>
      <sheetName val="ф.30(прод3)"/>
      <sheetName val="ф.30(прод4)"/>
      <sheetName val="ф.30(прод4)_1"/>
      <sheetName val="ф.30(прод4)_2"/>
      <sheetName val="ф.30(прод5)"/>
      <sheetName val="ф.30(прод6)"/>
    </sheetNames>
    <sheetDataSet>
      <sheetData sheetId="0">
        <row r="1">
          <cell r="A1" t="str">
            <v>Конфиденциальность гарантируется получателем информации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 t="str">
            <v xml:space="preserve">Приложение 19 к приказу
Министра здравоохранения
Республики Казахстан
от 22 декабря 2020 года
№ ҚР ДСМ-313/2020
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Кем представляется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Наименование региона</v>
          </cell>
          <cell r="B3">
            <v>0</v>
          </cell>
          <cell r="C3" t="str">
            <v>Мангистауская область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Наименование МО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Разрез (НП)</v>
          </cell>
          <cell r="B5">
            <v>0</v>
          </cell>
          <cell r="C5" t="str">
            <v>город, село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Разрез (ПФ)</v>
          </cell>
          <cell r="B6">
            <v>0</v>
          </cell>
          <cell r="C6" t="str">
            <v>ведомственная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Форма, предназначенная для сбора административных данных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Представляется: Министерство здравоохранения Республики Казахстан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Отчет организации здравоохранения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Индекс: 19-ОМО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Периодичность: годовая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 t="str">
            <v xml:space="preserve">Отчетный период за </v>
          </cell>
          <cell r="E18">
            <v>0</v>
          </cell>
          <cell r="F18" t="str">
            <v>2022 год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 t="str">
            <v>Круг лиц, представляющих: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 t="str">
            <v>Организации здравоохранения районов, областей, города республиканского значения и столицы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 t="str">
            <v>Срок представления: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 t="str">
            <v>Один раз в год, 10 февраля, следующего за отчетным периодом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БИН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A52">
            <v>1001</v>
          </cell>
          <cell r="B52" t="str">
            <v xml:space="preserve">Отделения (кабинеты), прочие подразделения   </v>
          </cell>
          <cell r="C52">
            <v>0</v>
          </cell>
          <cell r="D52">
            <v>0</v>
          </cell>
          <cell r="E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A54" t="str">
            <v>Наименование отделения (кабинета)</v>
          </cell>
          <cell r="B54">
            <v>0</v>
          </cell>
          <cell r="C54">
            <v>0</v>
          </cell>
          <cell r="D54" t="str">
            <v>№ строки</v>
          </cell>
          <cell r="E54" t="str">
            <v>Число отделений (кабинетов)</v>
          </cell>
          <cell r="F54" t="str">
            <v>Наименование отделения (кабинета)</v>
          </cell>
          <cell r="G54">
            <v>0</v>
          </cell>
          <cell r="H54">
            <v>0</v>
          </cell>
          <cell r="I54" t="str">
            <v>№ строки</v>
          </cell>
          <cell r="J54" t="str">
            <v>Число отделений (кабинетов)</v>
          </cell>
        </row>
        <row r="55">
          <cell r="A55" t="str">
            <v>А</v>
          </cell>
          <cell r="B55">
            <v>0</v>
          </cell>
          <cell r="C55">
            <v>0</v>
          </cell>
          <cell r="D55">
            <v>0</v>
          </cell>
          <cell r="E55">
            <v>1</v>
          </cell>
          <cell r="F55" t="str">
            <v>А</v>
          </cell>
          <cell r="G55">
            <v>0</v>
          </cell>
          <cell r="H55">
            <v>0</v>
          </cell>
          <cell r="I55">
            <v>0</v>
          </cell>
          <cell r="J55">
            <v>1</v>
          </cell>
        </row>
        <row r="56">
          <cell r="A56" t="str">
            <v>Подростковое</v>
          </cell>
          <cell r="B56">
            <v>0</v>
          </cell>
          <cell r="C56">
            <v>0</v>
          </cell>
          <cell r="D56" t="str">
            <v>01</v>
          </cell>
          <cell r="E56">
            <v>0</v>
          </cell>
          <cell r="F56" t="str">
            <v>Антиалкогольной пропаганды и профилактической помощи</v>
          </cell>
          <cell r="G56">
            <v>0</v>
          </cell>
          <cell r="H56">
            <v>0</v>
          </cell>
          <cell r="I56">
            <v>40</v>
          </cell>
          <cell r="J56">
            <v>0</v>
          </cell>
        </row>
        <row r="57">
          <cell r="A57" t="str">
            <v>Пульмонологическое</v>
          </cell>
          <cell r="B57">
            <v>0</v>
          </cell>
          <cell r="C57">
            <v>0</v>
          </cell>
          <cell r="D57" t="str">
            <v>02</v>
          </cell>
          <cell r="E57">
            <v>0</v>
          </cell>
          <cell r="F57" t="str">
            <v>Дерматовенерологическое</v>
          </cell>
          <cell r="G57">
            <v>0</v>
          </cell>
          <cell r="H57">
            <v>0</v>
          </cell>
          <cell r="I57">
            <v>41</v>
          </cell>
          <cell r="J57">
            <v>1</v>
          </cell>
        </row>
        <row r="58">
          <cell r="A58" t="str">
            <v>Ревматологическое</v>
          </cell>
          <cell r="B58">
            <v>0</v>
          </cell>
          <cell r="C58">
            <v>0</v>
          </cell>
          <cell r="D58" t="str">
            <v>03</v>
          </cell>
          <cell r="E58">
            <v>0</v>
          </cell>
          <cell r="F58" t="str">
            <v>Профилактики</v>
          </cell>
          <cell r="G58">
            <v>0</v>
          </cell>
          <cell r="H58">
            <v>0</v>
          </cell>
          <cell r="I58">
            <v>42</v>
          </cell>
          <cell r="J58">
            <v>0</v>
          </cell>
        </row>
        <row r="59">
          <cell r="A59" t="str">
            <v>Кардиологическое</v>
          </cell>
          <cell r="B59">
            <v>0</v>
          </cell>
          <cell r="C59">
            <v>0</v>
          </cell>
          <cell r="D59" t="str">
            <v>04</v>
          </cell>
          <cell r="E59">
            <v>2</v>
          </cell>
          <cell r="F59" t="str">
            <v>Физиотерапевтическое</v>
          </cell>
          <cell r="G59">
            <v>0</v>
          </cell>
          <cell r="H59">
            <v>0</v>
          </cell>
          <cell r="I59">
            <v>43</v>
          </cell>
          <cell r="J59">
            <v>2</v>
          </cell>
        </row>
        <row r="60">
          <cell r="A60" t="str">
            <v>Гастроэнтерологическое</v>
          </cell>
          <cell r="B60">
            <v>0</v>
          </cell>
          <cell r="C60">
            <v>0</v>
          </cell>
          <cell r="D60" t="str">
            <v>05</v>
          </cell>
          <cell r="E60">
            <v>1</v>
          </cell>
          <cell r="F60" t="str">
            <v>Иглорефлексотерапии</v>
          </cell>
          <cell r="G60">
            <v>0</v>
          </cell>
          <cell r="H60">
            <v>0</v>
          </cell>
          <cell r="I60">
            <v>44</v>
          </cell>
          <cell r="J60">
            <v>0</v>
          </cell>
        </row>
        <row r="61">
          <cell r="A61" t="str">
            <v>Эндокринологическое</v>
          </cell>
          <cell r="B61">
            <v>0</v>
          </cell>
          <cell r="C61">
            <v>0</v>
          </cell>
          <cell r="D61" t="str">
            <v>06</v>
          </cell>
          <cell r="E61">
            <v>1</v>
          </cell>
          <cell r="F61" t="str">
            <v>Лечебной физкультуры для взрослых</v>
          </cell>
          <cell r="G61">
            <v>0</v>
          </cell>
          <cell r="H61">
            <v>0</v>
          </cell>
          <cell r="I61">
            <v>45</v>
          </cell>
          <cell r="J61">
            <v>1</v>
          </cell>
        </row>
        <row r="62">
          <cell r="A62" t="str">
            <v>Аллергологическое</v>
          </cell>
          <cell r="B62">
            <v>0</v>
          </cell>
          <cell r="C62">
            <v>0</v>
          </cell>
          <cell r="D62" t="str">
            <v>07</v>
          </cell>
          <cell r="E62">
            <v>0</v>
          </cell>
          <cell r="F62" t="str">
            <v>Лечебной физкультуры для детей</v>
          </cell>
          <cell r="G62">
            <v>0</v>
          </cell>
          <cell r="H62">
            <v>0</v>
          </cell>
          <cell r="I62">
            <v>46</v>
          </cell>
          <cell r="J62">
            <v>0</v>
          </cell>
        </row>
        <row r="63">
          <cell r="A63" t="str">
            <v>Инфекционное для взрослых</v>
          </cell>
          <cell r="B63">
            <v>0</v>
          </cell>
          <cell r="C63">
            <v>0</v>
          </cell>
          <cell r="D63" t="str">
            <v>08</v>
          </cell>
          <cell r="E63">
            <v>0</v>
          </cell>
          <cell r="F63" t="str">
            <v>Женская консультация</v>
          </cell>
          <cell r="G63">
            <v>0</v>
          </cell>
          <cell r="H63">
            <v>0</v>
          </cell>
          <cell r="I63">
            <v>47</v>
          </cell>
          <cell r="J63">
            <v>0</v>
          </cell>
        </row>
        <row r="64">
          <cell r="A64" t="str">
            <v>Инфекционное для детей</v>
          </cell>
          <cell r="B64">
            <v>0</v>
          </cell>
          <cell r="C64">
            <v>0</v>
          </cell>
          <cell r="D64" t="str">
            <v>09</v>
          </cell>
          <cell r="E64">
            <v>0</v>
          </cell>
          <cell r="F64" t="str">
            <v>Восстановительного лечения</v>
          </cell>
          <cell r="G64">
            <v>0</v>
          </cell>
          <cell r="H64">
            <v>0</v>
          </cell>
          <cell r="I64">
            <v>48</v>
          </cell>
          <cell r="J64">
            <v>0</v>
          </cell>
        </row>
        <row r="65">
          <cell r="A65" t="str">
            <v>Врачебного контроля за занимающимися физкультурой и спортом</v>
          </cell>
          <cell r="B65">
            <v>0</v>
          </cell>
          <cell r="C65">
            <v>0</v>
          </cell>
          <cell r="D65">
            <v>10</v>
          </cell>
          <cell r="E65">
            <v>0</v>
          </cell>
          <cell r="F65" t="str">
            <v>Рентгенологическое</v>
          </cell>
          <cell r="G65">
            <v>0</v>
          </cell>
          <cell r="H65">
            <v>0</v>
          </cell>
          <cell r="I65">
            <v>49</v>
          </cell>
          <cell r="J65">
            <v>1</v>
          </cell>
        </row>
        <row r="66">
          <cell r="A66" t="str">
            <v>Неврологическое</v>
          </cell>
          <cell r="B66">
            <v>0</v>
          </cell>
          <cell r="C66">
            <v>0</v>
          </cell>
          <cell r="D66">
            <v>11</v>
          </cell>
          <cell r="E66">
            <v>2</v>
          </cell>
          <cell r="F66" t="str">
            <v>Компьютерной томографии</v>
          </cell>
          <cell r="G66">
            <v>0</v>
          </cell>
          <cell r="H66">
            <v>0</v>
          </cell>
          <cell r="I66">
            <v>50</v>
          </cell>
          <cell r="J66">
            <v>0</v>
          </cell>
        </row>
        <row r="67">
          <cell r="A67" t="str">
            <v>Травматологическое (ортопедическое)</v>
          </cell>
          <cell r="B67">
            <v>0</v>
          </cell>
          <cell r="C67">
            <v>0</v>
          </cell>
          <cell r="D67">
            <v>12</v>
          </cell>
          <cell r="E67">
            <v>0</v>
          </cell>
          <cell r="F67" t="str">
            <v>Флюорографическое</v>
          </cell>
          <cell r="G67">
            <v>0</v>
          </cell>
          <cell r="H67">
            <v>0</v>
          </cell>
          <cell r="I67">
            <v>51</v>
          </cell>
          <cell r="J67">
            <v>1</v>
          </cell>
        </row>
        <row r="68">
          <cell r="A68" t="str">
            <v>Урологическое</v>
          </cell>
          <cell r="B68">
            <v>0</v>
          </cell>
          <cell r="C68">
            <v>0</v>
          </cell>
          <cell r="D68">
            <v>13</v>
          </cell>
          <cell r="E68">
            <v>1</v>
          </cell>
          <cell r="F68" t="str">
            <v>Электрокардиографии и функциональной диагностики</v>
          </cell>
          <cell r="G68">
            <v>0</v>
          </cell>
          <cell r="H68">
            <v>0</v>
          </cell>
          <cell r="I68">
            <v>52</v>
          </cell>
          <cell r="J68">
            <v>3</v>
          </cell>
        </row>
        <row r="69">
          <cell r="A69" t="str">
            <v>Онкологическое</v>
          </cell>
          <cell r="B69">
            <v>0</v>
          </cell>
          <cell r="C69">
            <v>0</v>
          </cell>
          <cell r="D69">
            <v>14</v>
          </cell>
          <cell r="E69">
            <v>0</v>
          </cell>
          <cell r="F69" t="str">
            <v xml:space="preserve">Дистанционно-диагностический </v>
          </cell>
          <cell r="G69">
            <v>0</v>
          </cell>
          <cell r="H69">
            <v>0</v>
          </cell>
          <cell r="I69">
            <v>53</v>
          </cell>
          <cell r="J69">
            <v>0</v>
          </cell>
        </row>
        <row r="70">
          <cell r="A70" t="str">
            <v>Радиологическое (лучевой терапии)</v>
          </cell>
          <cell r="B70">
            <v>0</v>
          </cell>
          <cell r="C70">
            <v>0</v>
          </cell>
          <cell r="D70">
            <v>15</v>
          </cell>
          <cell r="E70">
            <v>0</v>
          </cell>
          <cell r="F70" t="str">
            <v>Эндоскопии</v>
          </cell>
          <cell r="G70">
            <v>0</v>
          </cell>
          <cell r="H70">
            <v>0</v>
          </cell>
          <cell r="I70">
            <v>54</v>
          </cell>
          <cell r="J70">
            <v>0</v>
          </cell>
        </row>
        <row r="71">
          <cell r="A71" t="str">
            <v>Стоматологическое (зубоврачебное)</v>
          </cell>
          <cell r="B71">
            <v>0</v>
          </cell>
          <cell r="C71">
            <v>0</v>
          </cell>
          <cell r="D71">
            <v>16</v>
          </cell>
          <cell r="E71">
            <v>2</v>
          </cell>
          <cell r="F71" t="str">
            <v>Ультразвуковой диагностики</v>
          </cell>
          <cell r="G71">
            <v>0</v>
          </cell>
          <cell r="H71">
            <v>0</v>
          </cell>
          <cell r="I71">
            <v>55</v>
          </cell>
          <cell r="J71">
            <v>1</v>
          </cell>
        </row>
        <row r="72">
          <cell r="A72" t="str">
            <v>Зубопротезное</v>
          </cell>
          <cell r="B72">
            <v>0</v>
          </cell>
          <cell r="C72">
            <v>0</v>
          </cell>
          <cell r="D72">
            <v>17</v>
          </cell>
          <cell r="E72">
            <v>0</v>
          </cell>
          <cell r="F72" t="str">
            <v>Переливания крови</v>
          </cell>
          <cell r="G72">
            <v>0</v>
          </cell>
          <cell r="H72">
            <v>0</v>
          </cell>
          <cell r="I72">
            <v>56</v>
          </cell>
          <cell r="J72">
            <v>0</v>
          </cell>
        </row>
        <row r="73">
          <cell r="A73" t="str">
            <v>Ортодонтическое</v>
          </cell>
          <cell r="B73">
            <v>0</v>
          </cell>
          <cell r="C73">
            <v>0</v>
          </cell>
          <cell r="D73">
            <v>18</v>
          </cell>
          <cell r="E73">
            <v>0</v>
          </cell>
          <cell r="F73" t="str">
            <v>Гипербарической оксингенации</v>
          </cell>
          <cell r="G73">
            <v>0</v>
          </cell>
          <cell r="H73">
            <v>0</v>
          </cell>
          <cell r="I73">
            <v>57</v>
          </cell>
          <cell r="J73">
            <v>0</v>
          </cell>
        </row>
        <row r="74">
          <cell r="A74" t="str">
            <v>Акушерско-гинекологическое</v>
          </cell>
          <cell r="B74">
            <v>0</v>
          </cell>
          <cell r="C74">
            <v>0</v>
          </cell>
          <cell r="D74">
            <v>19</v>
          </cell>
          <cell r="E74">
            <v>1</v>
          </cell>
          <cell r="F74" t="str">
            <v>Гемодиализа</v>
          </cell>
          <cell r="G74">
            <v>0</v>
          </cell>
          <cell r="H74">
            <v>0</v>
          </cell>
          <cell r="I74">
            <v>58</v>
          </cell>
          <cell r="J74">
            <v>0</v>
          </cell>
        </row>
        <row r="75">
          <cell r="A75" t="str">
            <v>Смотровой (женский)</v>
          </cell>
          <cell r="B75">
            <v>0</v>
          </cell>
          <cell r="C75">
            <v>0</v>
          </cell>
          <cell r="D75">
            <v>20</v>
          </cell>
          <cell r="E75">
            <v>0</v>
          </cell>
          <cell r="F75" t="str">
            <v>Гемосорбции</v>
          </cell>
          <cell r="G75">
            <v>0</v>
          </cell>
          <cell r="H75">
            <v>0</v>
          </cell>
          <cell r="I75">
            <v>59</v>
          </cell>
          <cell r="J75">
            <v>0</v>
          </cell>
        </row>
        <row r="76">
          <cell r="A76" t="str">
            <v>Смотровой (мужской)</v>
          </cell>
          <cell r="B76">
            <v>0</v>
          </cell>
          <cell r="C76">
            <v>0</v>
          </cell>
          <cell r="D76">
            <v>21</v>
          </cell>
          <cell r="E76">
            <v>0</v>
          </cell>
          <cell r="F76" t="str">
            <v>Патологоанатомическое</v>
          </cell>
          <cell r="G76">
            <v>0</v>
          </cell>
          <cell r="H76">
            <v>0</v>
          </cell>
          <cell r="I76">
            <v>60</v>
          </cell>
          <cell r="J76">
            <v>0</v>
          </cell>
        </row>
        <row r="77">
          <cell r="A77" t="str">
            <v>Мамологический</v>
          </cell>
          <cell r="B77">
            <v>0</v>
          </cell>
          <cell r="C77">
            <v>0</v>
          </cell>
          <cell r="D77">
            <v>22</v>
          </cell>
          <cell r="E77">
            <v>0</v>
          </cell>
          <cell r="F77" t="str">
            <v>Лаборатории :</v>
          </cell>
          <cell r="G77">
            <v>0</v>
          </cell>
          <cell r="H77">
            <v>0</v>
          </cell>
          <cell r="I77">
            <v>61</v>
          </cell>
          <cell r="J77">
            <v>0</v>
          </cell>
        </row>
        <row r="78">
          <cell r="A78" t="str">
            <v>Консультация "Брак и семья"</v>
          </cell>
          <cell r="B78">
            <v>0</v>
          </cell>
          <cell r="C78">
            <v>0</v>
          </cell>
          <cell r="D78">
            <v>23</v>
          </cell>
          <cell r="E78">
            <v>0</v>
          </cell>
          <cell r="F78" t="str">
            <v xml:space="preserve">     радиоизотопной диагностики</v>
          </cell>
          <cell r="G78">
            <v>0</v>
          </cell>
          <cell r="H78">
            <v>0</v>
          </cell>
          <cell r="I78" t="str">
            <v>61.1</v>
          </cell>
          <cell r="J78">
            <v>0</v>
          </cell>
        </row>
        <row r="79">
          <cell r="A79" t="str">
            <v>По медицинской генетике</v>
          </cell>
          <cell r="B79">
            <v>0</v>
          </cell>
          <cell r="C79">
            <v>0</v>
          </cell>
          <cell r="D79">
            <v>24</v>
          </cell>
          <cell r="E79">
            <v>0</v>
          </cell>
          <cell r="F79" t="str">
            <v xml:space="preserve">     клинико-диагностическая</v>
          </cell>
          <cell r="G79">
            <v>0</v>
          </cell>
          <cell r="H79">
            <v>0</v>
          </cell>
          <cell r="I79" t="str">
            <v>61.2</v>
          </cell>
          <cell r="J79">
            <v>2</v>
          </cell>
        </row>
        <row r="80">
          <cell r="A80" t="str">
            <v>Педиатрическое</v>
          </cell>
          <cell r="B80">
            <v>0</v>
          </cell>
          <cell r="C80">
            <v>0</v>
          </cell>
          <cell r="D80">
            <v>25</v>
          </cell>
          <cell r="E80">
            <v>0</v>
          </cell>
          <cell r="F80" t="str">
            <v xml:space="preserve">     бактериологическая</v>
          </cell>
          <cell r="G80">
            <v>0</v>
          </cell>
          <cell r="H80">
            <v>0</v>
          </cell>
          <cell r="I80" t="str">
            <v>61.3</v>
          </cell>
          <cell r="J80">
            <v>1</v>
          </cell>
        </row>
        <row r="81">
          <cell r="A81" t="str">
            <v>Кабинет здорового ребенка</v>
          </cell>
          <cell r="B81">
            <v>0</v>
          </cell>
          <cell r="C81">
            <v>0</v>
          </cell>
          <cell r="D81" t="str">
            <v>25.1</v>
          </cell>
          <cell r="E81">
            <v>0</v>
          </cell>
          <cell r="F81" t="str">
            <v xml:space="preserve">     серологическая</v>
          </cell>
          <cell r="G81">
            <v>0</v>
          </cell>
          <cell r="H81">
            <v>0</v>
          </cell>
          <cell r="I81" t="str">
            <v>61.4</v>
          </cell>
          <cell r="J81">
            <v>0</v>
          </cell>
        </row>
        <row r="82">
          <cell r="A82" t="str">
            <v>Терапевтическое</v>
          </cell>
          <cell r="B82">
            <v>0</v>
          </cell>
          <cell r="C82">
            <v>0</v>
          </cell>
          <cell r="D82">
            <v>26</v>
          </cell>
          <cell r="E82">
            <v>3</v>
          </cell>
          <cell r="F82" t="str">
            <v xml:space="preserve">     биохимическая</v>
          </cell>
          <cell r="G82">
            <v>0</v>
          </cell>
          <cell r="H82">
            <v>0</v>
          </cell>
          <cell r="I82" t="str">
            <v>61.5</v>
          </cell>
          <cell r="J82">
            <v>1</v>
          </cell>
        </row>
        <row r="83">
          <cell r="A83" t="str">
            <v>Прививочный</v>
          </cell>
          <cell r="B83">
            <v>0</v>
          </cell>
          <cell r="C83">
            <v>0</v>
          </cell>
          <cell r="D83">
            <v>27</v>
          </cell>
          <cell r="E83">
            <v>2</v>
          </cell>
          <cell r="F83" t="str">
            <v xml:space="preserve">     цитологическая</v>
          </cell>
          <cell r="G83">
            <v>0</v>
          </cell>
          <cell r="H83">
            <v>0</v>
          </cell>
          <cell r="I83" t="str">
            <v>61.6</v>
          </cell>
          <cell r="J83">
            <v>0</v>
          </cell>
        </row>
        <row r="84">
          <cell r="A84" t="str">
            <v>Офтальмологическое</v>
          </cell>
          <cell r="B84">
            <v>0</v>
          </cell>
          <cell r="C84">
            <v>0</v>
          </cell>
          <cell r="D84">
            <v>28</v>
          </cell>
          <cell r="E84">
            <v>2</v>
          </cell>
          <cell r="F84" t="str">
            <v>Статистики</v>
          </cell>
          <cell r="G84">
            <v>0</v>
          </cell>
          <cell r="H84">
            <v>0</v>
          </cell>
          <cell r="I84">
            <v>62</v>
          </cell>
          <cell r="J84">
            <v>2</v>
          </cell>
        </row>
        <row r="85">
          <cell r="A85" t="str">
            <v>Отоларингологическое</v>
          </cell>
          <cell r="B85">
            <v>0</v>
          </cell>
          <cell r="C85">
            <v>0</v>
          </cell>
          <cell r="D85">
            <v>29</v>
          </cell>
          <cell r="E85">
            <v>2</v>
          </cell>
          <cell r="F85" t="str">
            <v>Отдел статистики в составе оргметодотдела</v>
          </cell>
          <cell r="G85">
            <v>0</v>
          </cell>
          <cell r="H85">
            <v>0</v>
          </cell>
          <cell r="I85">
            <v>63</v>
          </cell>
          <cell r="J85">
            <v>0</v>
          </cell>
        </row>
        <row r="86">
          <cell r="A86" t="str">
            <v>Сурдологическое</v>
          </cell>
          <cell r="B86">
            <v>0</v>
          </cell>
          <cell r="C86">
            <v>0</v>
          </cell>
          <cell r="D86">
            <v>30</v>
          </cell>
          <cell r="E86">
            <v>0</v>
          </cell>
          <cell r="F86" t="str">
            <v>Социально-правовой</v>
          </cell>
          <cell r="G86">
            <v>0</v>
          </cell>
          <cell r="H86">
            <v>0</v>
          </cell>
          <cell r="I86">
            <v>64</v>
          </cell>
          <cell r="J86">
            <v>0</v>
          </cell>
        </row>
        <row r="87">
          <cell r="A87" t="str">
            <v>Фтизиатрическое</v>
          </cell>
          <cell r="B87">
            <v>0</v>
          </cell>
          <cell r="C87">
            <v>0</v>
          </cell>
          <cell r="D87">
            <v>31</v>
          </cell>
          <cell r="E87">
            <v>0</v>
          </cell>
          <cell r="F87" t="str">
            <v>Лазерной терапии</v>
          </cell>
          <cell r="G87">
            <v>0</v>
          </cell>
          <cell r="H87">
            <v>0</v>
          </cell>
          <cell r="I87">
            <v>65</v>
          </cell>
          <cell r="J87">
            <v>0</v>
          </cell>
        </row>
        <row r="88">
          <cell r="A88" t="str">
            <v>Психиатрическое</v>
          </cell>
          <cell r="B88">
            <v>0</v>
          </cell>
          <cell r="C88">
            <v>0</v>
          </cell>
          <cell r="D88">
            <v>32</v>
          </cell>
          <cell r="E88">
            <v>2</v>
          </cell>
          <cell r="F88" t="str">
            <v>Магнитно-резонансной томографии</v>
          </cell>
          <cell r="G88">
            <v>0</v>
          </cell>
          <cell r="H88">
            <v>0</v>
          </cell>
          <cell r="I88">
            <v>66</v>
          </cell>
          <cell r="J88">
            <v>0</v>
          </cell>
        </row>
        <row r="89">
          <cell r="A89" t="str">
            <v>Психотерапевтическое</v>
          </cell>
          <cell r="B89">
            <v>0</v>
          </cell>
          <cell r="C89">
            <v>0</v>
          </cell>
          <cell r="D89">
            <v>33</v>
          </cell>
          <cell r="E89">
            <v>0</v>
          </cell>
          <cell r="F89" t="str">
            <v>Планирование семьи</v>
          </cell>
          <cell r="G89">
            <v>0</v>
          </cell>
          <cell r="H89">
            <v>0</v>
          </cell>
          <cell r="I89">
            <v>67</v>
          </cell>
          <cell r="J89">
            <v>0</v>
          </cell>
        </row>
        <row r="90">
          <cell r="A90" t="str">
            <v>Судебно-психиатрической экспертизы</v>
          </cell>
          <cell r="B90">
            <v>0</v>
          </cell>
          <cell r="C90">
            <v>0</v>
          </cell>
          <cell r="D90">
            <v>34</v>
          </cell>
          <cell r="E90">
            <v>0</v>
          </cell>
          <cell r="F90" t="str">
            <v>Число врачебных участков</v>
          </cell>
          <cell r="G90">
            <v>0</v>
          </cell>
          <cell r="H90">
            <v>0</v>
          </cell>
          <cell r="I90" t="str">
            <v>68</v>
          </cell>
          <cell r="J90">
            <v>1</v>
          </cell>
        </row>
        <row r="91">
          <cell r="A91" t="str">
            <v>Медицинской психологии</v>
          </cell>
          <cell r="B91">
            <v>0</v>
          </cell>
          <cell r="C91">
            <v>0</v>
          </cell>
          <cell r="D91">
            <v>35</v>
          </cell>
          <cell r="E91">
            <v>1</v>
          </cell>
          <cell r="F91" t="str">
            <v>терапевтических</v>
          </cell>
          <cell r="G91">
            <v>0</v>
          </cell>
          <cell r="H91">
            <v>0</v>
          </cell>
          <cell r="I91" t="str">
            <v>68.1</v>
          </cell>
          <cell r="J91">
            <v>1</v>
          </cell>
        </row>
        <row r="92">
          <cell r="A92" t="str">
            <v>Наркологическое</v>
          </cell>
          <cell r="B92">
            <v>0</v>
          </cell>
          <cell r="C92">
            <v>0</v>
          </cell>
          <cell r="D92">
            <v>36</v>
          </cell>
          <cell r="E92">
            <v>0</v>
          </cell>
          <cell r="F92" t="str">
            <v>педиатрических</v>
          </cell>
          <cell r="G92">
            <v>0</v>
          </cell>
          <cell r="H92">
            <v>0</v>
          </cell>
          <cell r="I92" t="str">
            <v>68.2</v>
          </cell>
          <cell r="J92">
            <v>0</v>
          </cell>
        </row>
        <row r="93">
          <cell r="A93" t="str">
            <v xml:space="preserve">Детско-подростковые наркологические </v>
          </cell>
          <cell r="B93">
            <v>0</v>
          </cell>
          <cell r="C93">
            <v>0</v>
          </cell>
          <cell r="D93">
            <v>37</v>
          </cell>
          <cell r="E93">
            <v>0</v>
          </cell>
          <cell r="F93" t="str">
            <v>ВОП</v>
          </cell>
          <cell r="G93">
            <v>0</v>
          </cell>
          <cell r="H93">
            <v>0</v>
          </cell>
          <cell r="I93" t="str">
            <v>68.3</v>
          </cell>
          <cell r="J93">
            <v>0</v>
          </cell>
        </row>
        <row r="94">
          <cell r="A94" t="str">
            <v>Анонимного лечения наркологических больных</v>
          </cell>
          <cell r="B94">
            <v>0</v>
          </cell>
          <cell r="C94">
            <v>0</v>
          </cell>
          <cell r="D94">
            <v>38</v>
          </cell>
          <cell r="E94">
            <v>0</v>
          </cell>
          <cell r="F94" t="str">
            <v>Молочная кухня</v>
          </cell>
          <cell r="G94">
            <v>0</v>
          </cell>
          <cell r="H94">
            <v>0</v>
          </cell>
          <cell r="I94" t="str">
            <v>69</v>
          </cell>
          <cell r="J94">
            <v>0</v>
          </cell>
        </row>
        <row r="95">
          <cell r="A95" t="str">
            <v>Экспертизы алкогольного опьянения</v>
          </cell>
          <cell r="B95">
            <v>0</v>
          </cell>
          <cell r="C95">
            <v>0</v>
          </cell>
          <cell r="D95">
            <v>39</v>
          </cell>
          <cell r="E95">
            <v>0</v>
          </cell>
          <cell r="F95" t="str">
            <v>Аптека</v>
          </cell>
          <cell r="G95">
            <v>0</v>
          </cell>
          <cell r="H95">
            <v>0</v>
          </cell>
          <cell r="I95">
            <v>70</v>
          </cell>
          <cell r="J95">
            <v>1</v>
          </cell>
        </row>
        <row r="97">
          <cell r="A97" t="str">
            <v>Примечание: строки 1-41и 47, 67, 68.1, 68.2, 68.3 заполняют только амбулаторно-поликлинические организации.</v>
          </cell>
        </row>
        <row r="101">
          <cell r="A101">
            <v>1003</v>
          </cell>
          <cell r="B101">
            <v>0</v>
          </cell>
          <cell r="C101" t="str">
            <v>III.  ПЕРЕДВИЖНЫЕ   УСТАНОВКИ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>
            <v>0</v>
          </cell>
          <cell r="B102" t="str">
            <v>Наименование</v>
          </cell>
          <cell r="C102">
            <v>0</v>
          </cell>
          <cell r="D102">
            <v>0</v>
          </cell>
          <cell r="E102" t="str">
            <v>№строки</v>
          </cell>
          <cell r="F102" t="str">
            <v>Всего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 xml:space="preserve">        А</v>
          </cell>
          <cell r="B103">
            <v>0</v>
          </cell>
          <cell r="C103">
            <v>0</v>
          </cell>
          <cell r="D103">
            <v>0</v>
          </cell>
          <cell r="E103" t="str">
            <v>Б</v>
          </cell>
          <cell r="F103">
            <v>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 xml:space="preserve"> Передвижные медицинские комплексы</v>
          </cell>
          <cell r="B104">
            <v>0</v>
          </cell>
          <cell r="C104">
            <v>0</v>
          </cell>
          <cell r="D104">
            <v>0</v>
          </cell>
          <cell r="E104" t="str">
            <v>01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 xml:space="preserve"> Стоматологические установки</v>
          </cell>
          <cell r="B105">
            <v>0</v>
          </cell>
          <cell r="C105">
            <v>0</v>
          </cell>
          <cell r="D105">
            <v>0</v>
          </cell>
          <cell r="E105" t="str">
            <v>02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 xml:space="preserve"> Флюорографические установки</v>
          </cell>
          <cell r="B106">
            <v>0</v>
          </cell>
          <cell r="C106">
            <v>0</v>
          </cell>
          <cell r="D106">
            <v>0</v>
          </cell>
          <cell r="E106" t="str">
            <v>03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 xml:space="preserve"> Клинико-диагностические лаборатории</v>
          </cell>
          <cell r="B107">
            <v>0</v>
          </cell>
          <cell r="C107">
            <v>0</v>
          </cell>
          <cell r="D107">
            <v>0</v>
          </cell>
          <cell r="E107" t="str">
            <v>04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11">
          <cell r="A111">
            <v>1006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 t="str">
            <v>Число травмпунктов ____</v>
          </cell>
          <cell r="B112">
            <v>0</v>
          </cell>
          <cell r="C112" t="str">
            <v>число посещений травматологических пунктов всего _______</v>
          </cell>
          <cell r="E112">
            <v>0</v>
          </cell>
          <cell r="F112">
            <v>0</v>
          </cell>
          <cell r="G112">
            <v>0</v>
          </cell>
        </row>
        <row r="113">
          <cell r="A113" t="str">
            <v>в том числе детьми до 14 лет включительно __________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6">
          <cell r="A116">
            <v>1007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Число посещений в ПМК всего __________</v>
          </cell>
          <cell r="B117">
            <v>0</v>
          </cell>
          <cell r="C117" t="str">
            <v>в том числе детей до 14 лет включительно __________</v>
          </cell>
          <cell r="D117">
            <v>0</v>
          </cell>
          <cell r="E117">
            <v>0</v>
          </cell>
          <cell r="F117">
            <v>0</v>
          </cell>
        </row>
        <row r="121">
          <cell r="A121" t="str">
            <v>1010   VII. МОЩНОСТЬ (число посещений в смену)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 t="str">
            <v>Поликлиники (поликлинического отделения) ____117____</v>
          </cell>
          <cell r="B122">
            <v>0</v>
          </cell>
          <cell r="E122" t="str">
            <v>Детской поликлиники __________</v>
          </cell>
          <cell r="F122">
            <v>0</v>
          </cell>
          <cell r="G122">
            <v>0</v>
          </cell>
        </row>
        <row r="123">
          <cell r="A123" t="str">
            <v>Женской консультации __________</v>
          </cell>
          <cell r="B123">
            <v>0</v>
          </cell>
          <cell r="E123" t="str">
            <v>Диспансерного отделения (больницы, диспансера) __________</v>
          </cell>
          <cell r="F123">
            <v>0</v>
          </cell>
          <cell r="G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7">
          <cell r="A127">
            <v>1100</v>
          </cell>
          <cell r="B127" t="str">
            <v xml:space="preserve"> I. ШТАТНЫЕ ДОЛЖНОСТИ ОРГАНИЗАЦИИ НА КОНЕЦ ОТЧЕТНОГО ГОДА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 t="str">
            <v>Наименование должности</v>
          </cell>
          <cell r="B128">
            <v>0</v>
          </cell>
          <cell r="C128">
            <v>0</v>
          </cell>
          <cell r="D128" t="str">
            <v>№ строки</v>
          </cell>
          <cell r="E128" t="str">
            <v>Число должностей в целом по организации</v>
          </cell>
          <cell r="F128">
            <v>0</v>
          </cell>
          <cell r="G128" t="str">
            <v>в том числе в поликлинике (амбулатории), диспансере,консультации</v>
          </cell>
          <cell r="H128">
            <v>0</v>
          </cell>
          <cell r="I128" t="str">
            <v>Число физических лиц основных работников на занятых должностях</v>
          </cell>
          <cell r="J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 t="str">
            <v xml:space="preserve">  штатные </v>
          </cell>
          <cell r="F129" t="str">
            <v>занятые</v>
          </cell>
          <cell r="G129" t="str">
            <v xml:space="preserve">  штатные </v>
          </cell>
          <cell r="H129" t="str">
            <v xml:space="preserve">  занятые</v>
          </cell>
          <cell r="I129" t="str">
            <v>в целом по организа-ции</v>
          </cell>
          <cell r="J129" t="str">
            <v>из них в поликлинике, диспансере, консультации</v>
          </cell>
        </row>
        <row r="130">
          <cell r="A130" t="str">
            <v>А</v>
          </cell>
          <cell r="B130">
            <v>0</v>
          </cell>
          <cell r="C130">
            <v>0</v>
          </cell>
          <cell r="D130" t="str">
            <v>Б</v>
          </cell>
          <cell r="E130">
            <v>1</v>
          </cell>
          <cell r="F130">
            <v>2</v>
          </cell>
          <cell r="G130">
            <v>3</v>
          </cell>
          <cell r="H130">
            <v>4</v>
          </cell>
          <cell r="I130">
            <v>5</v>
          </cell>
          <cell r="J130">
            <v>6</v>
          </cell>
        </row>
        <row r="131">
          <cell r="A131" t="str">
            <v xml:space="preserve"> Врачи, всего</v>
          </cell>
          <cell r="B131">
            <v>0</v>
          </cell>
          <cell r="C131">
            <v>0</v>
          </cell>
          <cell r="D131" t="str">
            <v>01</v>
          </cell>
          <cell r="E131">
            <v>55.5</v>
          </cell>
          <cell r="F131">
            <v>45.5</v>
          </cell>
          <cell r="G131">
            <v>35</v>
          </cell>
          <cell r="H131">
            <v>32</v>
          </cell>
          <cell r="I131">
            <v>44</v>
          </cell>
          <cell r="J131">
            <v>21</v>
          </cell>
        </row>
        <row r="132">
          <cell r="A132" t="str">
            <v>в том числе руководители организации здравоохранения</v>
          </cell>
          <cell r="B132">
            <v>0</v>
          </cell>
          <cell r="C132">
            <v>0</v>
          </cell>
          <cell r="D132" t="str">
            <v>02</v>
          </cell>
          <cell r="E132">
            <v>2</v>
          </cell>
          <cell r="F132">
            <v>2</v>
          </cell>
          <cell r="G132">
            <v>1</v>
          </cell>
          <cell r="H132">
            <v>1</v>
          </cell>
          <cell r="I132">
            <v>2</v>
          </cell>
          <cell r="J132">
            <v>1</v>
          </cell>
        </row>
        <row r="133">
          <cell r="A133" t="str">
            <v xml:space="preserve">заместители руководителя по медицинской части               </v>
          </cell>
          <cell r="B133">
            <v>0</v>
          </cell>
          <cell r="C133">
            <v>0</v>
          </cell>
          <cell r="D133" t="str">
            <v>03</v>
          </cell>
          <cell r="E133">
            <v>1</v>
          </cell>
          <cell r="F133">
            <v>1</v>
          </cell>
          <cell r="G133">
            <v>0</v>
          </cell>
          <cell r="H133">
            <v>0</v>
          </cell>
          <cell r="I133">
            <v>1</v>
          </cell>
          <cell r="J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менеджеры здравоохранения</v>
          </cell>
          <cell r="B135">
            <v>0</v>
          </cell>
          <cell r="C135">
            <v>0</v>
          </cell>
          <cell r="D135" t="str">
            <v>04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A136" t="str">
            <v xml:space="preserve">терапевты, всего </v>
          </cell>
          <cell r="B136">
            <v>0</v>
          </cell>
          <cell r="C136">
            <v>0</v>
          </cell>
          <cell r="D136" t="str">
            <v>05</v>
          </cell>
          <cell r="E136">
            <v>14</v>
          </cell>
          <cell r="F136">
            <v>10.5</v>
          </cell>
          <cell r="G136">
            <v>6.5</v>
          </cell>
          <cell r="H136">
            <v>5.5</v>
          </cell>
          <cell r="I136">
            <v>10</v>
          </cell>
          <cell r="J136">
            <v>5</v>
          </cell>
        </row>
        <row r="137">
          <cell r="A137" t="str">
            <v xml:space="preserve">                 из них:  участковые терапевты </v>
          </cell>
          <cell r="B137">
            <v>0</v>
          </cell>
          <cell r="C137">
            <v>0</v>
          </cell>
          <cell r="D137" t="str">
            <v>5.1</v>
          </cell>
          <cell r="E137">
            <v>3</v>
          </cell>
          <cell r="F137">
            <v>3</v>
          </cell>
          <cell r="G137">
            <v>3</v>
          </cell>
          <cell r="H137">
            <v>3</v>
          </cell>
          <cell r="I137">
            <v>3</v>
          </cell>
          <cell r="J137">
            <v>3</v>
          </cell>
        </row>
        <row r="138">
          <cell r="A138" t="str">
            <v xml:space="preserve">                               врачи цеховых  участков</v>
          </cell>
          <cell r="B138">
            <v>0</v>
          </cell>
          <cell r="C138">
            <v>0</v>
          </cell>
          <cell r="D138" t="str">
            <v>5.2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 xml:space="preserve">                               терапевты подростковые</v>
          </cell>
          <cell r="B139">
            <v>0</v>
          </cell>
          <cell r="C139">
            <v>0</v>
          </cell>
          <cell r="D139" t="str">
            <v>5.3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A140" t="str">
            <v xml:space="preserve">                               диетологи</v>
          </cell>
          <cell r="B140">
            <v>0</v>
          </cell>
          <cell r="C140">
            <v>0</v>
          </cell>
          <cell r="D140" t="str">
            <v>5.4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 xml:space="preserve"> пульмонологи взрослые</v>
          </cell>
          <cell r="B141">
            <v>0</v>
          </cell>
          <cell r="C141">
            <v>0</v>
          </cell>
          <cell r="D141" t="str">
            <v>06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 xml:space="preserve"> пульмонологи детские</v>
          </cell>
          <cell r="B142">
            <v>0</v>
          </cell>
          <cell r="C142">
            <v>0</v>
          </cell>
          <cell r="D142" t="str">
            <v>07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 xml:space="preserve"> ревматологи взрослые</v>
          </cell>
          <cell r="B143">
            <v>0</v>
          </cell>
          <cell r="C143">
            <v>0</v>
          </cell>
          <cell r="D143" t="str">
            <v>08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A144" t="str">
            <v xml:space="preserve"> ревматологи детские</v>
          </cell>
          <cell r="B144">
            <v>0</v>
          </cell>
          <cell r="C144">
            <v>0</v>
          </cell>
          <cell r="D144" t="str">
            <v>09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A145" t="str">
            <v xml:space="preserve"> кардиологи взрослые</v>
          </cell>
          <cell r="B145">
            <v>0</v>
          </cell>
          <cell r="C145">
            <v>0</v>
          </cell>
          <cell r="D145" t="str">
            <v>10</v>
          </cell>
          <cell r="E145">
            <v>2.5</v>
          </cell>
          <cell r="F145">
            <v>2.5</v>
          </cell>
          <cell r="G145">
            <v>2</v>
          </cell>
          <cell r="H145">
            <v>2</v>
          </cell>
          <cell r="I145">
            <v>3</v>
          </cell>
          <cell r="J145">
            <v>1</v>
          </cell>
        </row>
        <row r="146">
          <cell r="A146" t="str">
            <v xml:space="preserve">                 из них: интервенционные</v>
          </cell>
          <cell r="B146">
            <v>0</v>
          </cell>
          <cell r="C146">
            <v>0</v>
          </cell>
          <cell r="D146" t="str">
            <v>10.1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A147" t="str">
            <v xml:space="preserve"> кардиологи детские</v>
          </cell>
          <cell r="B147">
            <v>0</v>
          </cell>
          <cell r="C147">
            <v>0</v>
          </cell>
          <cell r="D147">
            <v>11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A148" t="str">
            <v xml:space="preserve"> гастроэнтерологи взрослые</v>
          </cell>
          <cell r="B148">
            <v>0</v>
          </cell>
          <cell r="C148">
            <v>0</v>
          </cell>
          <cell r="D148">
            <v>12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A149" t="str">
            <v xml:space="preserve"> гастроэнтерологи детские</v>
          </cell>
          <cell r="B149">
            <v>0</v>
          </cell>
          <cell r="C149">
            <v>0</v>
          </cell>
          <cell r="D149">
            <v>13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A150" t="str">
            <v xml:space="preserve"> нефрологи взрослые</v>
          </cell>
          <cell r="B150">
            <v>0</v>
          </cell>
          <cell r="C150">
            <v>0</v>
          </cell>
          <cell r="D150">
            <v>14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A151" t="str">
            <v xml:space="preserve"> нефрологи детские</v>
          </cell>
          <cell r="B151">
            <v>0</v>
          </cell>
          <cell r="C151">
            <v>0</v>
          </cell>
          <cell r="D151">
            <v>15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A152" t="str">
            <v xml:space="preserve"> эндокринологи взрослые </v>
          </cell>
          <cell r="B152">
            <v>0</v>
          </cell>
          <cell r="C152">
            <v>0</v>
          </cell>
          <cell r="D152">
            <v>16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0</v>
          </cell>
        </row>
        <row r="153">
          <cell r="A153" t="str">
            <v xml:space="preserve"> эндокринологи детские</v>
          </cell>
          <cell r="B153">
            <v>0</v>
          </cell>
          <cell r="C153">
            <v>0</v>
          </cell>
          <cell r="D153">
            <v>17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A154" t="str">
            <v xml:space="preserve"> аллергологи взрослые</v>
          </cell>
          <cell r="B154">
            <v>0</v>
          </cell>
          <cell r="C154">
            <v>0</v>
          </cell>
          <cell r="D154">
            <v>18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A155" t="str">
            <v xml:space="preserve"> аллергологи детские</v>
          </cell>
          <cell r="B155">
            <v>0</v>
          </cell>
          <cell r="C155">
            <v>0</v>
          </cell>
          <cell r="D155">
            <v>19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 xml:space="preserve"> гематологи взрослые</v>
          </cell>
          <cell r="B156">
            <v>0</v>
          </cell>
          <cell r="C156">
            <v>0</v>
          </cell>
          <cell r="D156">
            <v>20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A157" t="str">
            <v xml:space="preserve"> гематологи детские</v>
          </cell>
          <cell r="B157">
            <v>0</v>
          </cell>
          <cell r="C157">
            <v>0</v>
          </cell>
          <cell r="D157">
            <v>21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A158" t="str">
            <v xml:space="preserve"> инфекционисты взрослые</v>
          </cell>
          <cell r="B158">
            <v>0</v>
          </cell>
          <cell r="C158">
            <v>0</v>
          </cell>
          <cell r="D158">
            <v>22</v>
          </cell>
          <cell r="E158">
            <v>1</v>
          </cell>
          <cell r="F158">
            <v>1</v>
          </cell>
          <cell r="G158">
            <v>0</v>
          </cell>
          <cell r="H158">
            <v>0</v>
          </cell>
          <cell r="I158">
            <v>1</v>
          </cell>
          <cell r="J158">
            <v>0</v>
          </cell>
        </row>
        <row r="159">
          <cell r="A159" t="str">
            <v>из них : лепрологи</v>
          </cell>
          <cell r="B159">
            <v>0</v>
          </cell>
          <cell r="C159">
            <v>0</v>
          </cell>
          <cell r="D159" t="str">
            <v>22.1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 xml:space="preserve"> инфекционисты детские</v>
          </cell>
          <cell r="B160">
            <v>0</v>
          </cell>
          <cell r="C160">
            <v>0</v>
          </cell>
          <cell r="D160">
            <v>23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A161" t="str">
            <v>Врачи реабилитологи, восстановительного лечения</v>
          </cell>
          <cell r="B161">
            <v>0</v>
          </cell>
          <cell r="C161">
            <v>0</v>
          </cell>
          <cell r="D161">
            <v>24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A162" t="str">
            <v xml:space="preserve">          из них: </v>
          </cell>
          <cell r="B162">
            <v>0</v>
          </cell>
          <cell r="C162">
            <v>0</v>
          </cell>
          <cell r="D162" t="str">
            <v>24.1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 xml:space="preserve">                       физиотерапевты взрослые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 xml:space="preserve">                       физиотерапевты детские</v>
          </cell>
          <cell r="B164">
            <v>0</v>
          </cell>
          <cell r="C164">
            <v>0</v>
          </cell>
          <cell r="D164" t="str">
            <v>24.2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A165" t="str">
            <v xml:space="preserve">                       врачи по лечебной физкультуре</v>
          </cell>
          <cell r="B165">
            <v>0</v>
          </cell>
          <cell r="C165">
            <v>0</v>
          </cell>
          <cell r="D165" t="str">
            <v>24.3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A166" t="str">
            <v>Спортивная медицина</v>
          </cell>
          <cell r="B166">
            <v>0</v>
          </cell>
          <cell r="C166">
            <v>0</v>
          </cell>
          <cell r="D166">
            <v>25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 xml:space="preserve">Профпатологи                                                                                                                                                                                                     </v>
          </cell>
          <cell r="B167">
            <v>0</v>
          </cell>
          <cell r="C167">
            <v>0</v>
          </cell>
          <cell r="D167">
            <v>26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 xml:space="preserve">Врачи функциональной диагностики </v>
          </cell>
          <cell r="B168">
            <v>0</v>
          </cell>
          <cell r="C168">
            <v>0</v>
          </cell>
          <cell r="D168">
            <v>27</v>
          </cell>
          <cell r="E168">
            <v>0.5</v>
          </cell>
          <cell r="F168">
            <v>0.5</v>
          </cell>
          <cell r="G168">
            <v>0.5</v>
          </cell>
          <cell r="H168">
            <v>0.5</v>
          </cell>
          <cell r="I168">
            <v>0</v>
          </cell>
          <cell r="J168">
            <v>0</v>
          </cell>
        </row>
        <row r="169">
          <cell r="A169" t="str">
            <v>Токсикологи взрослые</v>
          </cell>
          <cell r="B169">
            <v>0</v>
          </cell>
          <cell r="C169">
            <v>0</v>
          </cell>
          <cell r="D169">
            <v>28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A170" t="str">
            <v>Токсикологи детские</v>
          </cell>
          <cell r="B170">
            <v>0</v>
          </cell>
          <cell r="C170">
            <v>0</v>
          </cell>
          <cell r="D170">
            <v>29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Хирурги, всего</v>
          </cell>
          <cell r="B171">
            <v>0</v>
          </cell>
          <cell r="C171">
            <v>0</v>
          </cell>
          <cell r="D171">
            <v>30</v>
          </cell>
          <cell r="E171">
            <v>4</v>
          </cell>
          <cell r="F171">
            <v>3</v>
          </cell>
          <cell r="G171">
            <v>3</v>
          </cell>
          <cell r="H171">
            <v>2</v>
          </cell>
          <cell r="I171">
            <v>3</v>
          </cell>
          <cell r="J171">
            <v>2</v>
          </cell>
        </row>
        <row r="172">
          <cell r="A172" t="str">
            <v xml:space="preserve">          из них: хирурги взрослые</v>
          </cell>
          <cell r="B172">
            <v>0</v>
          </cell>
          <cell r="C172">
            <v>0</v>
          </cell>
          <cell r="D172" t="str">
            <v>30.1</v>
          </cell>
          <cell r="E172">
            <v>4</v>
          </cell>
          <cell r="F172">
            <v>3</v>
          </cell>
          <cell r="G172">
            <v>3</v>
          </cell>
          <cell r="H172">
            <v>2</v>
          </cell>
          <cell r="I172">
            <v>3</v>
          </cell>
          <cell r="J172">
            <v>2</v>
          </cell>
        </row>
        <row r="173">
          <cell r="A173" t="str">
            <v xml:space="preserve">                       торакальные хирурги </v>
          </cell>
          <cell r="B173">
            <v>0</v>
          </cell>
          <cell r="C173">
            <v>0</v>
          </cell>
          <cell r="D173" t="str">
            <v>30.2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 xml:space="preserve">                       колопроктологи</v>
          </cell>
          <cell r="B174">
            <v>0</v>
          </cell>
          <cell r="C174">
            <v>0</v>
          </cell>
          <cell r="D174" t="str">
            <v>30.3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A175" t="str">
            <v xml:space="preserve">                      трансплантологи</v>
          </cell>
          <cell r="B175">
            <v>0</v>
          </cell>
          <cell r="C175">
            <v>0</v>
          </cell>
          <cell r="D175" t="str">
            <v>30.4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Хирурги детские</v>
          </cell>
          <cell r="B176">
            <v>0</v>
          </cell>
          <cell r="C176">
            <v>0</v>
          </cell>
          <cell r="D176">
            <v>31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Кардиохирурги взрослые</v>
          </cell>
          <cell r="B177">
            <v>0</v>
          </cell>
          <cell r="C177">
            <v>0</v>
          </cell>
          <cell r="D177">
            <v>32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Кардиохирурги детские</v>
          </cell>
          <cell r="B178">
            <v>0</v>
          </cell>
          <cell r="C178">
            <v>0</v>
          </cell>
          <cell r="D178">
            <v>33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Ангиохирурги взрослые</v>
          </cell>
          <cell r="B179">
            <v>0</v>
          </cell>
          <cell r="C179">
            <v>0</v>
          </cell>
          <cell r="D179">
            <v>34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Ангиохирурги детские</v>
          </cell>
          <cell r="B180">
            <v>0</v>
          </cell>
          <cell r="C180">
            <v>0</v>
          </cell>
          <cell r="D180">
            <v>35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Травматологи-ортопеды взрослые</v>
          </cell>
          <cell r="B181">
            <v>0</v>
          </cell>
          <cell r="C181">
            <v>0</v>
          </cell>
          <cell r="D181">
            <v>36</v>
          </cell>
          <cell r="E181">
            <v>1</v>
          </cell>
          <cell r="F181">
            <v>1</v>
          </cell>
          <cell r="G181">
            <v>0</v>
          </cell>
          <cell r="H181">
            <v>0</v>
          </cell>
          <cell r="I181">
            <v>1</v>
          </cell>
          <cell r="J181">
            <v>0</v>
          </cell>
        </row>
        <row r="182">
          <cell r="A182" t="str">
            <v xml:space="preserve">                      из них : камбустиологи взрослые</v>
          </cell>
          <cell r="B182">
            <v>0</v>
          </cell>
          <cell r="C182">
            <v>0</v>
          </cell>
          <cell r="D182" t="str">
            <v>36.1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Травматологи-ортопеды детские</v>
          </cell>
          <cell r="B183">
            <v>0</v>
          </cell>
          <cell r="C183">
            <v>0</v>
          </cell>
          <cell r="D183">
            <v>37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 xml:space="preserve">                      из них : камбустиологи детские</v>
          </cell>
          <cell r="B184">
            <v>0</v>
          </cell>
          <cell r="C184">
            <v>0</v>
          </cell>
          <cell r="D184" t="str">
            <v>37.1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 xml:space="preserve">Урологи взрослые </v>
          </cell>
          <cell r="B185">
            <v>0</v>
          </cell>
          <cell r="C185">
            <v>0</v>
          </cell>
          <cell r="D185">
            <v>38</v>
          </cell>
          <cell r="E185">
            <v>1.5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J185">
            <v>0</v>
          </cell>
        </row>
        <row r="186">
          <cell r="A186" t="str">
            <v xml:space="preserve">                      из них : андрологи</v>
          </cell>
          <cell r="B186">
            <v>0</v>
          </cell>
          <cell r="C186">
            <v>0</v>
          </cell>
          <cell r="D186" t="str">
            <v>38.1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Урологи детские</v>
          </cell>
          <cell r="B187">
            <v>0</v>
          </cell>
          <cell r="C187">
            <v>0</v>
          </cell>
          <cell r="D187">
            <v>39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Нейрохирурги взрослые</v>
          </cell>
          <cell r="B188">
            <v>0</v>
          </cell>
          <cell r="C188">
            <v>0</v>
          </cell>
          <cell r="D188">
            <v>40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A189" t="str">
            <v>Нейрохирурги детские</v>
          </cell>
          <cell r="B189">
            <v>0</v>
          </cell>
          <cell r="C189">
            <v>0</v>
          </cell>
          <cell r="D189">
            <v>41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Анестезиологи-реаниматологи взрослые</v>
          </cell>
          <cell r="B190">
            <v>0</v>
          </cell>
          <cell r="C190">
            <v>0</v>
          </cell>
          <cell r="D190">
            <v>42</v>
          </cell>
          <cell r="E190">
            <v>1</v>
          </cell>
          <cell r="F190">
            <v>1</v>
          </cell>
          <cell r="G190">
            <v>0</v>
          </cell>
          <cell r="H190">
            <v>0</v>
          </cell>
          <cell r="I190">
            <v>1</v>
          </cell>
          <cell r="J190">
            <v>0</v>
          </cell>
        </row>
        <row r="191">
          <cell r="A191" t="str">
            <v>Анестезиологи-реаниматологи детские</v>
          </cell>
          <cell r="B191">
            <v>0</v>
          </cell>
          <cell r="C191">
            <v>0</v>
          </cell>
          <cell r="D191">
            <v>43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Пластические хирурги</v>
          </cell>
          <cell r="B192">
            <v>0</v>
          </cell>
          <cell r="C192">
            <v>0</v>
          </cell>
          <cell r="D192">
            <v>44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 t="str">
            <v>Эндоскописты взрослые</v>
          </cell>
          <cell r="B193">
            <v>0</v>
          </cell>
          <cell r="C193">
            <v>0</v>
          </cell>
          <cell r="D193">
            <v>45</v>
          </cell>
          <cell r="E193">
            <v>1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J193">
            <v>0</v>
          </cell>
        </row>
        <row r="194">
          <cell r="A194" t="str">
            <v>Эндоскописты детские</v>
          </cell>
          <cell r="B194">
            <v>0</v>
          </cell>
          <cell r="C194">
            <v>0</v>
          </cell>
          <cell r="D194">
            <v>46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Онкологи взрослые</v>
          </cell>
          <cell r="B195">
            <v>0</v>
          </cell>
          <cell r="C195">
            <v>0</v>
          </cell>
          <cell r="D195">
            <v>47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A196" t="str">
            <v xml:space="preserve">                      из них : маммологи</v>
          </cell>
          <cell r="B196">
            <v>0</v>
          </cell>
          <cell r="C196">
            <v>0</v>
          </cell>
          <cell r="D196" t="str">
            <v>47.1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A197" t="str">
            <v>Онкологи детские</v>
          </cell>
          <cell r="B197">
            <v>0</v>
          </cell>
          <cell r="C197">
            <v>0</v>
          </cell>
          <cell r="D197">
            <v>48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Радиологи (лучевая терапия)</v>
          </cell>
          <cell r="B198">
            <v>0</v>
          </cell>
          <cell r="C198">
            <v>0</v>
          </cell>
          <cell r="D198">
            <v>49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Стоматологи взрослые</v>
          </cell>
          <cell r="B199">
            <v>0</v>
          </cell>
          <cell r="C199">
            <v>0</v>
          </cell>
          <cell r="D199">
            <v>50</v>
          </cell>
          <cell r="E199">
            <v>2</v>
          </cell>
          <cell r="F199">
            <v>2</v>
          </cell>
          <cell r="G199">
            <v>2</v>
          </cell>
          <cell r="H199">
            <v>2</v>
          </cell>
          <cell r="I199">
            <v>2</v>
          </cell>
          <cell r="J199">
            <v>2</v>
          </cell>
        </row>
        <row r="200">
          <cell r="A200" t="str">
            <v>Стоматологи детские</v>
          </cell>
          <cell r="B200">
            <v>0</v>
          </cell>
          <cell r="C200">
            <v>0</v>
          </cell>
          <cell r="D200">
            <v>51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A201" t="str">
            <v>Челюстно-лицевые хирурги взрослые</v>
          </cell>
          <cell r="B201">
            <v>0</v>
          </cell>
          <cell r="C201">
            <v>0</v>
          </cell>
          <cell r="D201">
            <v>52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A202" t="str">
            <v>Челюстно-лицевые хирурги детские</v>
          </cell>
          <cell r="B202">
            <v>0</v>
          </cell>
          <cell r="C202">
            <v>0</v>
          </cell>
          <cell r="D202">
            <v>53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A203" t="str">
            <v>Трансфузиологи</v>
          </cell>
          <cell r="B203">
            <v>0</v>
          </cell>
          <cell r="C203">
            <v>0</v>
          </cell>
          <cell r="D203">
            <v>54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A204" t="str">
            <v>Перфузиологи</v>
          </cell>
          <cell r="B204">
            <v>0</v>
          </cell>
          <cell r="C204">
            <v>0</v>
          </cell>
          <cell r="D204">
            <v>55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Акушеры-гинекологи</v>
          </cell>
          <cell r="B205">
            <v>0</v>
          </cell>
          <cell r="C205">
            <v>0</v>
          </cell>
          <cell r="D205">
            <v>56</v>
          </cell>
          <cell r="E205">
            <v>1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J205">
            <v>1</v>
          </cell>
        </row>
        <row r="206">
          <cell r="A206" t="str">
            <v xml:space="preserve">                      из них : гинекологи детские</v>
          </cell>
          <cell r="B206">
            <v>0</v>
          </cell>
          <cell r="C206">
            <v>0</v>
          </cell>
          <cell r="D206" t="str">
            <v>56.1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A207" t="str">
            <v xml:space="preserve">Педиатры </v>
          </cell>
          <cell r="B207">
            <v>0</v>
          </cell>
          <cell r="C207">
            <v>0</v>
          </cell>
          <cell r="D207">
            <v>57</v>
          </cell>
          <cell r="E207">
            <v>1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J207">
            <v>1</v>
          </cell>
        </row>
        <row r="208">
          <cell r="A208" t="str">
            <v xml:space="preserve">                      из них : участковые педиатры </v>
          </cell>
          <cell r="B208">
            <v>0</v>
          </cell>
          <cell r="C208">
            <v>0</v>
          </cell>
          <cell r="D208" t="str">
            <v>57.1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A209" t="str">
            <v>Неонатологи</v>
          </cell>
          <cell r="B209">
            <v>0</v>
          </cell>
          <cell r="C209">
            <v>0</v>
          </cell>
          <cell r="D209">
            <v>58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A210" t="str">
            <v>Офтальмологи взрослые</v>
          </cell>
          <cell r="B210">
            <v>0</v>
          </cell>
          <cell r="C210">
            <v>0</v>
          </cell>
          <cell r="D210">
            <v>59</v>
          </cell>
          <cell r="E210">
            <v>2</v>
          </cell>
          <cell r="F210">
            <v>2</v>
          </cell>
          <cell r="G210">
            <v>2</v>
          </cell>
          <cell r="H210">
            <v>2</v>
          </cell>
          <cell r="I210">
            <v>2</v>
          </cell>
          <cell r="J210">
            <v>1</v>
          </cell>
        </row>
        <row r="211">
          <cell r="A211" t="str">
            <v>Офтальмологи детские</v>
          </cell>
          <cell r="B211">
            <v>0</v>
          </cell>
          <cell r="C211">
            <v>0</v>
          </cell>
          <cell r="D211">
            <v>60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A212" t="str">
            <v>Отоларингологи взрослые</v>
          </cell>
          <cell r="B212">
            <v>0</v>
          </cell>
          <cell r="C212">
            <v>0</v>
          </cell>
          <cell r="D212">
            <v>61</v>
          </cell>
          <cell r="E212">
            <v>3</v>
          </cell>
          <cell r="F212">
            <v>2</v>
          </cell>
          <cell r="G212">
            <v>2</v>
          </cell>
          <cell r="H212">
            <v>2</v>
          </cell>
          <cell r="I212">
            <v>2</v>
          </cell>
          <cell r="J212">
            <v>1</v>
          </cell>
        </row>
        <row r="213">
          <cell r="A213" t="str">
            <v>Отоларингологи детские</v>
          </cell>
          <cell r="B213">
            <v>0</v>
          </cell>
          <cell r="C213">
            <v>0</v>
          </cell>
          <cell r="D213">
            <v>62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A214" t="str">
            <v xml:space="preserve">                      из них: сурдологи</v>
          </cell>
          <cell r="B214">
            <v>0</v>
          </cell>
          <cell r="C214">
            <v>0</v>
          </cell>
          <cell r="D214" t="str">
            <v>62.1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A215" t="str">
            <v>Фтизиатры взрослые</v>
          </cell>
          <cell r="B215">
            <v>0</v>
          </cell>
          <cell r="C215">
            <v>0</v>
          </cell>
          <cell r="D215">
            <v>63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A216" t="str">
            <v>Фтизиатры детские</v>
          </cell>
          <cell r="B216">
            <v>0</v>
          </cell>
          <cell r="C216">
            <v>0</v>
          </cell>
          <cell r="D216">
            <v>64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A217" t="str">
            <v>Невропатологи взрослые</v>
          </cell>
          <cell r="B217">
            <v>0</v>
          </cell>
          <cell r="C217">
            <v>0</v>
          </cell>
          <cell r="D217">
            <v>65</v>
          </cell>
          <cell r="E217">
            <v>3.5</v>
          </cell>
          <cell r="F217">
            <v>2.5</v>
          </cell>
          <cell r="G217">
            <v>2</v>
          </cell>
          <cell r="H217">
            <v>2</v>
          </cell>
          <cell r="I217">
            <v>3</v>
          </cell>
          <cell r="J217">
            <v>1</v>
          </cell>
        </row>
        <row r="218">
          <cell r="A218" t="str">
            <v>Невропатологи детские</v>
          </cell>
          <cell r="B218">
            <v>0</v>
          </cell>
          <cell r="C218">
            <v>0</v>
          </cell>
          <cell r="D218">
            <v>66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</row>
        <row r="219">
          <cell r="A219" t="str">
            <v>Врачи психиатрического профиля, взрослые</v>
          </cell>
          <cell r="B219">
            <v>0</v>
          </cell>
          <cell r="C219">
            <v>0</v>
          </cell>
          <cell r="D219">
            <v>67</v>
          </cell>
          <cell r="E219">
            <v>4</v>
          </cell>
          <cell r="F219">
            <v>3</v>
          </cell>
          <cell r="G219">
            <v>2.5</v>
          </cell>
          <cell r="H219">
            <v>2.5</v>
          </cell>
          <cell r="I219">
            <v>4</v>
          </cell>
          <cell r="J219">
            <v>3</v>
          </cell>
        </row>
        <row r="220">
          <cell r="A220" t="str">
            <v xml:space="preserve">         из них : наркологи </v>
          </cell>
          <cell r="B220">
            <v>0</v>
          </cell>
          <cell r="C220">
            <v>0</v>
          </cell>
          <cell r="D220" t="str">
            <v>67.1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A221" t="str">
            <v xml:space="preserve">                      психотерапевты</v>
          </cell>
          <cell r="B221">
            <v>0</v>
          </cell>
          <cell r="C221">
            <v>0</v>
          </cell>
          <cell r="D221" t="str">
            <v>67.2</v>
          </cell>
          <cell r="E221">
            <v>1.5</v>
          </cell>
          <cell r="F221">
            <v>0.5</v>
          </cell>
          <cell r="G221">
            <v>0</v>
          </cell>
          <cell r="H221">
            <v>0</v>
          </cell>
          <cell r="I221">
            <v>1</v>
          </cell>
          <cell r="J221">
            <v>0</v>
          </cell>
        </row>
        <row r="222">
          <cell r="A222" t="str">
            <v xml:space="preserve">                      сексопатологи</v>
          </cell>
          <cell r="B222">
            <v>0</v>
          </cell>
          <cell r="C222">
            <v>0</v>
          </cell>
          <cell r="D222" t="str">
            <v>67.3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 t="str">
            <v xml:space="preserve">                      медицинские психологи</v>
          </cell>
          <cell r="B223">
            <v>0</v>
          </cell>
          <cell r="C223">
            <v>0</v>
          </cell>
          <cell r="D223" t="str">
            <v>67.4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J223">
            <v>1</v>
          </cell>
        </row>
        <row r="224">
          <cell r="A224" t="str">
            <v xml:space="preserve">                     судебно-психиатрические эксперты</v>
          </cell>
          <cell r="B224">
            <v>0</v>
          </cell>
          <cell r="C224">
            <v>0</v>
          </cell>
          <cell r="D224" t="str">
            <v>67.5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A225" t="str">
            <v xml:space="preserve">                     судебно-наркологические эксперты</v>
          </cell>
          <cell r="B225">
            <v>0</v>
          </cell>
          <cell r="C225">
            <v>0</v>
          </cell>
          <cell r="D225" t="str">
            <v>67.6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 xml:space="preserve">                     психиатры взрослые</v>
          </cell>
          <cell r="B226">
            <v>0</v>
          </cell>
          <cell r="C226">
            <v>0</v>
          </cell>
          <cell r="D226" t="str">
            <v>67.7</v>
          </cell>
          <cell r="E226">
            <v>1.5</v>
          </cell>
          <cell r="F226">
            <v>1.5</v>
          </cell>
          <cell r="G226">
            <v>1.5</v>
          </cell>
          <cell r="H226">
            <v>1.5</v>
          </cell>
          <cell r="I226">
            <v>2</v>
          </cell>
          <cell r="J226">
            <v>2</v>
          </cell>
        </row>
        <row r="227">
          <cell r="A227" t="str">
            <v>Врачи психиатрического профиля, детские</v>
          </cell>
          <cell r="B227">
            <v>0</v>
          </cell>
          <cell r="C227">
            <v>0</v>
          </cell>
          <cell r="D227">
            <v>68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A228" t="str">
            <v xml:space="preserve">        из них : психотерапевты детские</v>
          </cell>
          <cell r="B228">
            <v>0</v>
          </cell>
          <cell r="C228">
            <v>0</v>
          </cell>
          <cell r="D228" t="str">
            <v>68.1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 xml:space="preserve">                      медицинские психологи детские</v>
          </cell>
          <cell r="B229">
            <v>0</v>
          </cell>
          <cell r="C229">
            <v>0</v>
          </cell>
          <cell r="D229" t="str">
            <v>68.2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 xml:space="preserve">                      наркологи детские</v>
          </cell>
          <cell r="B230">
            <v>0</v>
          </cell>
          <cell r="C230">
            <v>0</v>
          </cell>
          <cell r="D230" t="str">
            <v>68.3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 xml:space="preserve">                     судебно-психиатрические эксперты детские</v>
          </cell>
          <cell r="B231">
            <v>0</v>
          </cell>
          <cell r="C231">
            <v>0</v>
          </cell>
          <cell r="D231" t="str">
            <v>68.4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 xml:space="preserve">                     судебно-наркологические эксперты детские</v>
          </cell>
          <cell r="B232">
            <v>0</v>
          </cell>
          <cell r="C232">
            <v>0</v>
          </cell>
          <cell r="D232" t="str">
            <v>68.5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 xml:space="preserve">                     психиатры детские</v>
          </cell>
          <cell r="B233">
            <v>0</v>
          </cell>
          <cell r="C233">
            <v>0</v>
          </cell>
          <cell r="D233" t="str">
            <v>68.6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Дерматовенерологи взрослые</v>
          </cell>
          <cell r="B234">
            <v>0</v>
          </cell>
          <cell r="C234">
            <v>0</v>
          </cell>
          <cell r="D234">
            <v>69</v>
          </cell>
          <cell r="E234">
            <v>0.5</v>
          </cell>
          <cell r="F234">
            <v>0.5</v>
          </cell>
          <cell r="G234">
            <v>0.5</v>
          </cell>
          <cell r="H234">
            <v>0.5</v>
          </cell>
          <cell r="I234">
            <v>0</v>
          </cell>
          <cell r="J234">
            <v>0</v>
          </cell>
        </row>
        <row r="235">
          <cell r="A235" t="str">
            <v>Дерматовенерологи детские</v>
          </cell>
          <cell r="B235">
            <v>0</v>
          </cell>
          <cell r="C235">
            <v>0</v>
          </cell>
          <cell r="D235">
            <v>70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Дерматокосметологи</v>
          </cell>
          <cell r="B236">
            <v>0</v>
          </cell>
          <cell r="C236">
            <v>0</v>
          </cell>
          <cell r="D236">
            <v>71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Патологоанатомы взрослые</v>
          </cell>
          <cell r="B237">
            <v>0</v>
          </cell>
          <cell r="C237">
            <v>0</v>
          </cell>
          <cell r="D237">
            <v>72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Патологоанатомы детские</v>
          </cell>
          <cell r="B238">
            <v>0</v>
          </cell>
          <cell r="C238">
            <v>0</v>
          </cell>
          <cell r="D238">
            <v>73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Врачи эпидемиологи и гигиенисты</v>
          </cell>
          <cell r="B239">
            <v>0</v>
          </cell>
          <cell r="C239">
            <v>0</v>
          </cell>
          <cell r="D239">
            <v>74</v>
          </cell>
          <cell r="E239">
            <v>1.5</v>
          </cell>
          <cell r="F239">
            <v>0.5</v>
          </cell>
          <cell r="G239">
            <v>0.5</v>
          </cell>
          <cell r="H239">
            <v>0.5</v>
          </cell>
          <cell r="I239">
            <v>0</v>
          </cell>
          <cell r="J239">
            <v>0</v>
          </cell>
        </row>
        <row r="240">
          <cell r="A240" t="str">
            <v xml:space="preserve">         из них : эпидемиологи</v>
          </cell>
          <cell r="B240">
            <v>0</v>
          </cell>
          <cell r="C240">
            <v>0</v>
          </cell>
          <cell r="D240" t="str">
            <v>74.1</v>
          </cell>
          <cell r="E240">
            <v>1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A241" t="str">
            <v xml:space="preserve">                      бактериологи</v>
          </cell>
          <cell r="B241">
            <v>0</v>
          </cell>
          <cell r="C241">
            <v>0</v>
          </cell>
          <cell r="D241" t="str">
            <v>74.2</v>
          </cell>
          <cell r="E241">
            <v>0.5</v>
          </cell>
          <cell r="F241">
            <v>0.5</v>
          </cell>
          <cell r="G241">
            <v>0.5</v>
          </cell>
          <cell r="H241">
            <v>0.5</v>
          </cell>
          <cell r="I241">
            <v>0</v>
          </cell>
          <cell r="J241">
            <v>0</v>
          </cell>
        </row>
        <row r="242">
          <cell r="A242" t="str">
            <v xml:space="preserve">                      вирусологи</v>
          </cell>
          <cell r="B242">
            <v>0</v>
          </cell>
          <cell r="C242">
            <v>0</v>
          </cell>
          <cell r="D242" t="str">
            <v>74.3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 xml:space="preserve">                      паразитологи</v>
          </cell>
          <cell r="B243">
            <v>0</v>
          </cell>
          <cell r="C243">
            <v>0</v>
          </cell>
          <cell r="D243" t="str">
            <v>74.4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Врачи-лаборанты</v>
          </cell>
          <cell r="B244">
            <v>0</v>
          </cell>
          <cell r="C244">
            <v>0</v>
          </cell>
          <cell r="D244">
            <v>75</v>
          </cell>
          <cell r="E244">
            <v>3.5</v>
          </cell>
          <cell r="F244">
            <v>2.5</v>
          </cell>
          <cell r="G244">
            <v>3.5</v>
          </cell>
          <cell r="H244">
            <v>2.5</v>
          </cell>
          <cell r="I244">
            <v>2</v>
          </cell>
          <cell r="J244">
            <v>2</v>
          </cell>
        </row>
        <row r="245">
          <cell r="A245" t="str">
            <v xml:space="preserve">          из них : лаборанты-цитологи</v>
          </cell>
          <cell r="B245">
            <v>0</v>
          </cell>
          <cell r="C245">
            <v>0</v>
          </cell>
          <cell r="D245" t="str">
            <v>75.1</v>
          </cell>
          <cell r="E245">
            <v>0.5</v>
          </cell>
          <cell r="F245">
            <v>0.5</v>
          </cell>
          <cell r="G245">
            <v>0.5</v>
          </cell>
          <cell r="H245">
            <v>0.5</v>
          </cell>
          <cell r="I245">
            <v>0</v>
          </cell>
          <cell r="J245">
            <v>0</v>
          </cell>
        </row>
        <row r="246">
          <cell r="A246" t="str">
            <v>Генетики</v>
          </cell>
          <cell r="B246">
            <v>0</v>
          </cell>
          <cell r="C246">
            <v>0</v>
          </cell>
          <cell r="D246">
            <v>76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 t="str">
            <v>Врачи общественного здравоохранения</v>
          </cell>
          <cell r="B247">
            <v>0</v>
          </cell>
          <cell r="C247">
            <v>0</v>
          </cell>
          <cell r="D247">
            <v>77</v>
          </cell>
          <cell r="E247">
            <v>1.5</v>
          </cell>
          <cell r="F247">
            <v>1.5</v>
          </cell>
          <cell r="G247">
            <v>0.5</v>
          </cell>
          <cell r="H247">
            <v>0.5</v>
          </cell>
          <cell r="I247">
            <v>1</v>
          </cell>
          <cell r="J247">
            <v>0</v>
          </cell>
        </row>
        <row r="248">
          <cell r="A248" t="str">
            <v xml:space="preserve">          из них : валеологи</v>
          </cell>
          <cell r="B248">
            <v>0</v>
          </cell>
          <cell r="C248">
            <v>0</v>
          </cell>
          <cell r="D248" t="str">
            <v>77.1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 t="str">
            <v xml:space="preserve">                       статистики</v>
          </cell>
          <cell r="B249">
            <v>0</v>
          </cell>
          <cell r="C249">
            <v>0</v>
          </cell>
          <cell r="D249" t="str">
            <v>77.2</v>
          </cell>
          <cell r="E249">
            <v>1.5</v>
          </cell>
          <cell r="F249">
            <v>1.5</v>
          </cell>
          <cell r="G249">
            <v>0.5</v>
          </cell>
          <cell r="H249">
            <v>0.5</v>
          </cell>
          <cell r="I249">
            <v>1</v>
          </cell>
          <cell r="J249">
            <v>0</v>
          </cell>
        </row>
        <row r="250">
          <cell r="A250" t="str">
            <v xml:space="preserve">                       методисты</v>
          </cell>
          <cell r="B250">
            <v>0</v>
          </cell>
          <cell r="C250">
            <v>0</v>
          </cell>
          <cell r="D250" t="str">
            <v>77.3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 t="str">
            <v xml:space="preserve">                       эксперты</v>
          </cell>
          <cell r="B251">
            <v>0</v>
          </cell>
          <cell r="C251">
            <v>0</v>
          </cell>
          <cell r="D251" t="str">
            <v>77.4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 t="str">
            <v>Геронтологи</v>
          </cell>
          <cell r="B252">
            <v>0</v>
          </cell>
          <cell r="C252">
            <v>0</v>
          </cell>
          <cell r="D252">
            <v>78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Врачи лучевой диагностики</v>
          </cell>
          <cell r="B253">
            <v>0</v>
          </cell>
          <cell r="C253">
            <v>0</v>
          </cell>
          <cell r="D253">
            <v>79</v>
          </cell>
          <cell r="E253">
            <v>1.5</v>
          </cell>
          <cell r="F253">
            <v>1.5</v>
          </cell>
          <cell r="G253">
            <v>1.5</v>
          </cell>
          <cell r="H253">
            <v>1.5</v>
          </cell>
          <cell r="I253">
            <v>1</v>
          </cell>
          <cell r="J253">
            <v>0</v>
          </cell>
        </row>
        <row r="254">
          <cell r="A254" t="str">
            <v xml:space="preserve">         из них :    ультразвуковой диагностики</v>
          </cell>
          <cell r="B254">
            <v>0</v>
          </cell>
          <cell r="C254">
            <v>0</v>
          </cell>
          <cell r="D254" t="str">
            <v>79.1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 t="str">
            <v xml:space="preserve">                          рентгенологи</v>
          </cell>
          <cell r="B255">
            <v>0</v>
          </cell>
          <cell r="C255">
            <v>0</v>
          </cell>
          <cell r="D255" t="str">
            <v>79.2</v>
          </cell>
          <cell r="E255">
            <v>1.5</v>
          </cell>
          <cell r="F255">
            <v>1.5</v>
          </cell>
          <cell r="G255">
            <v>1.5</v>
          </cell>
          <cell r="H255">
            <v>1.5</v>
          </cell>
          <cell r="I255">
            <v>1</v>
          </cell>
          <cell r="J255">
            <v>0</v>
          </cell>
        </row>
        <row r="256">
          <cell r="A256" t="str">
            <v xml:space="preserve">                   компьютерной и магнито-резонансной томографии</v>
          </cell>
          <cell r="B256">
            <v>0</v>
          </cell>
          <cell r="C256">
            <v>0</v>
          </cell>
          <cell r="D256" t="str">
            <v>79.3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 xml:space="preserve">                          радиоизотопной диагностики</v>
          </cell>
          <cell r="B258">
            <v>0</v>
          </cell>
          <cell r="C258">
            <v>0</v>
          </cell>
          <cell r="D258" t="str">
            <v>79.4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Врачи общей практики / семейные врачи</v>
          </cell>
          <cell r="B259">
            <v>0</v>
          </cell>
          <cell r="C259">
            <v>0</v>
          </cell>
          <cell r="D259">
            <v>80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 t="str">
            <v>Врачи традиционной терапии</v>
          </cell>
          <cell r="B260">
            <v>0</v>
          </cell>
          <cell r="C260">
            <v>0</v>
          </cell>
          <cell r="D260">
            <v>81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Врачи - клинические фармацевты</v>
          </cell>
          <cell r="B261">
            <v>0</v>
          </cell>
          <cell r="C261">
            <v>0</v>
          </cell>
          <cell r="D261">
            <v>82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 t="str">
            <v>Специалисты с высшим немедицинским образованием</v>
          </cell>
          <cell r="B262">
            <v>0</v>
          </cell>
          <cell r="C262">
            <v>0</v>
          </cell>
          <cell r="D262">
            <v>83</v>
          </cell>
          <cell r="E262">
            <v>16.5</v>
          </cell>
          <cell r="F262">
            <v>14</v>
          </cell>
          <cell r="G262">
            <v>1</v>
          </cell>
          <cell r="H262">
            <v>1</v>
          </cell>
          <cell r="I262">
            <v>12</v>
          </cell>
          <cell r="J262">
            <v>1</v>
          </cell>
        </row>
        <row r="263">
          <cell r="A263" t="str">
            <v xml:space="preserve">                      из них: социальные работники</v>
          </cell>
          <cell r="B263">
            <v>0</v>
          </cell>
          <cell r="C263">
            <v>0</v>
          </cell>
          <cell r="D263" t="str">
            <v>83.1</v>
          </cell>
          <cell r="E263">
            <v>3.5</v>
          </cell>
          <cell r="F263">
            <v>2.5</v>
          </cell>
          <cell r="G263">
            <v>0</v>
          </cell>
          <cell r="H263">
            <v>0</v>
          </cell>
          <cell r="I263">
            <v>2</v>
          </cell>
          <cell r="J263">
            <v>0</v>
          </cell>
        </row>
        <row r="264">
          <cell r="A264" t="str">
            <v xml:space="preserve">                                    психологи</v>
          </cell>
          <cell r="B264">
            <v>0</v>
          </cell>
          <cell r="C264">
            <v>0</v>
          </cell>
          <cell r="D264" t="str">
            <v>83.2</v>
          </cell>
          <cell r="E264">
            <v>2.5</v>
          </cell>
          <cell r="F264">
            <v>2</v>
          </cell>
          <cell r="G264">
            <v>0</v>
          </cell>
          <cell r="H264">
            <v>0</v>
          </cell>
          <cell r="I264">
            <v>2</v>
          </cell>
          <cell r="J264">
            <v>0</v>
          </cell>
        </row>
        <row r="265">
          <cell r="A265" t="str">
            <v>Средний медперсонал, всего</v>
          </cell>
          <cell r="B265">
            <v>0</v>
          </cell>
          <cell r="C265">
            <v>0</v>
          </cell>
          <cell r="D265">
            <v>84</v>
          </cell>
          <cell r="E265">
            <v>65.75</v>
          </cell>
          <cell r="F265">
            <v>57.25</v>
          </cell>
          <cell r="G265">
            <v>22.25</v>
          </cell>
          <cell r="H265">
            <v>22.25</v>
          </cell>
          <cell r="I265">
            <v>56</v>
          </cell>
          <cell r="J265">
            <v>22</v>
          </cell>
        </row>
        <row r="266">
          <cell r="A266" t="str">
            <v>в том числе :    медицинские сестры</v>
          </cell>
          <cell r="B266">
            <v>0</v>
          </cell>
          <cell r="C266">
            <v>0</v>
          </cell>
          <cell r="D266">
            <v>85</v>
          </cell>
          <cell r="E266">
            <v>50.5</v>
          </cell>
          <cell r="F266">
            <v>42.5</v>
          </cell>
          <cell r="G266">
            <v>11</v>
          </cell>
          <cell r="H266">
            <v>11</v>
          </cell>
          <cell r="I266">
            <v>42</v>
          </cell>
          <cell r="J266">
            <v>11</v>
          </cell>
        </row>
        <row r="267">
          <cell r="A267" t="str">
            <v>медицинские сестры участковые</v>
          </cell>
          <cell r="B267">
            <v>0</v>
          </cell>
          <cell r="C267">
            <v>0</v>
          </cell>
          <cell r="D267">
            <v>86</v>
          </cell>
          <cell r="E267">
            <v>1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J267">
            <v>1</v>
          </cell>
        </row>
        <row r="268">
          <cell r="A268" t="str">
            <v xml:space="preserve">               из них: терапевтических участков</v>
          </cell>
          <cell r="B268">
            <v>0</v>
          </cell>
          <cell r="C268">
            <v>0</v>
          </cell>
          <cell r="D268" t="str">
            <v>86.1</v>
          </cell>
          <cell r="E268">
            <v>1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J268">
            <v>1</v>
          </cell>
        </row>
        <row r="269">
          <cell r="A269" t="str">
            <v>педиатрических участков</v>
          </cell>
          <cell r="B269">
            <v>0</v>
          </cell>
          <cell r="C269">
            <v>0</v>
          </cell>
          <cell r="D269" t="str">
            <v>86.2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 t="str">
            <v>медицинские сестры общей практики</v>
          </cell>
          <cell r="B270">
            <v>0</v>
          </cell>
          <cell r="C270">
            <v>0</v>
          </cell>
          <cell r="D270">
            <v>87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 t="str">
            <v>медицинские сестры по ЗОЖ</v>
          </cell>
          <cell r="B271">
            <v>0</v>
          </cell>
          <cell r="C271">
            <v>0</v>
          </cell>
          <cell r="D271">
            <v>88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 t="str">
            <v>медицинские статистики</v>
          </cell>
          <cell r="B272">
            <v>0</v>
          </cell>
          <cell r="C272">
            <v>0</v>
          </cell>
          <cell r="D272">
            <v>89</v>
          </cell>
          <cell r="E272">
            <v>1</v>
          </cell>
          <cell r="F272">
            <v>1</v>
          </cell>
          <cell r="G272">
            <v>0</v>
          </cell>
          <cell r="H272">
            <v>0</v>
          </cell>
          <cell r="I272">
            <v>1</v>
          </cell>
          <cell r="J272">
            <v>0</v>
          </cell>
        </row>
        <row r="273">
          <cell r="A273" t="str">
            <v>акушерки</v>
          </cell>
          <cell r="B273">
            <v>0</v>
          </cell>
          <cell r="C273">
            <v>0</v>
          </cell>
          <cell r="D273">
            <v>90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 t="str">
            <v>акушерки общей практики</v>
          </cell>
          <cell r="B274">
            <v>0</v>
          </cell>
          <cell r="C274">
            <v>0</v>
          </cell>
          <cell r="D274">
            <v>91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 t="str">
            <v>фельдшера</v>
          </cell>
          <cell r="B275">
            <v>0</v>
          </cell>
          <cell r="C275">
            <v>0</v>
          </cell>
          <cell r="D275">
            <v>92</v>
          </cell>
          <cell r="E275">
            <v>1</v>
          </cell>
          <cell r="F275">
            <v>1</v>
          </cell>
          <cell r="G275">
            <v>0</v>
          </cell>
          <cell r="H275">
            <v>0</v>
          </cell>
          <cell r="I275">
            <v>1</v>
          </cell>
          <cell r="J275">
            <v>0</v>
          </cell>
        </row>
        <row r="276">
          <cell r="A276" t="str">
            <v>фельдшера общей практики</v>
          </cell>
          <cell r="B276">
            <v>0</v>
          </cell>
          <cell r="C276">
            <v>0</v>
          </cell>
          <cell r="D276">
            <v>93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 t="str">
            <v>рентгенлаборанты</v>
          </cell>
          <cell r="B277">
            <v>0</v>
          </cell>
          <cell r="C277">
            <v>0</v>
          </cell>
          <cell r="D277">
            <v>94</v>
          </cell>
          <cell r="E277">
            <v>3</v>
          </cell>
          <cell r="F277">
            <v>3</v>
          </cell>
          <cell r="G277">
            <v>3</v>
          </cell>
          <cell r="H277">
            <v>3</v>
          </cell>
          <cell r="I277">
            <v>3</v>
          </cell>
          <cell r="J277">
            <v>3</v>
          </cell>
        </row>
        <row r="278">
          <cell r="A278" t="str">
            <v>зубные врачи</v>
          </cell>
          <cell r="B278">
            <v>0</v>
          </cell>
          <cell r="C278">
            <v>0</v>
          </cell>
          <cell r="D278">
            <v>95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 t="str">
            <v>зубные техники</v>
          </cell>
          <cell r="B279">
            <v>0</v>
          </cell>
          <cell r="C279">
            <v>0</v>
          </cell>
          <cell r="D279">
            <v>96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 t="str">
            <v>лаборанты клинических лабораторий</v>
          </cell>
          <cell r="B280">
            <v>0</v>
          </cell>
          <cell r="C280">
            <v>0</v>
          </cell>
          <cell r="D280">
            <v>97</v>
          </cell>
          <cell r="E280">
            <v>6</v>
          </cell>
          <cell r="F280">
            <v>6</v>
          </cell>
          <cell r="G280">
            <v>6</v>
          </cell>
          <cell r="H280">
            <v>6</v>
          </cell>
          <cell r="I280">
            <v>6</v>
          </cell>
          <cell r="J280">
            <v>6</v>
          </cell>
        </row>
        <row r="281">
          <cell r="A281" t="str">
            <v>лаборанты-гистологи</v>
          </cell>
          <cell r="B281">
            <v>0</v>
          </cell>
          <cell r="C281">
            <v>0</v>
          </cell>
          <cell r="D281">
            <v>98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 t="str">
            <v>прочий медперсонал</v>
          </cell>
          <cell r="B282">
            <v>0</v>
          </cell>
          <cell r="C282">
            <v>0</v>
          </cell>
          <cell r="D282">
            <v>99</v>
          </cell>
          <cell r="E282">
            <v>3.25</v>
          </cell>
          <cell r="F282">
            <v>2.75</v>
          </cell>
          <cell r="G282">
            <v>1.25</v>
          </cell>
          <cell r="H282">
            <v>1.25</v>
          </cell>
          <cell r="I282">
            <v>2</v>
          </cell>
          <cell r="J282">
            <v>1</v>
          </cell>
        </row>
        <row r="283">
          <cell r="A283" t="str">
            <v>Провизоры</v>
          </cell>
          <cell r="B283">
            <v>0</v>
          </cell>
          <cell r="C283">
            <v>0</v>
          </cell>
          <cell r="D283">
            <v>100</v>
          </cell>
          <cell r="E283">
            <v>2</v>
          </cell>
          <cell r="F283">
            <v>2</v>
          </cell>
          <cell r="G283">
            <v>0</v>
          </cell>
          <cell r="H283">
            <v>0</v>
          </cell>
          <cell r="I283">
            <v>2</v>
          </cell>
          <cell r="J283">
            <v>0</v>
          </cell>
        </row>
        <row r="284">
          <cell r="A284" t="str">
            <v>Фармацевты</v>
          </cell>
          <cell r="B284">
            <v>0</v>
          </cell>
          <cell r="C284">
            <v>0</v>
          </cell>
          <cell r="D284">
            <v>101</v>
          </cell>
          <cell r="E284">
            <v>1</v>
          </cell>
          <cell r="F284">
            <v>0.5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 t="str">
            <v>Младший медперсонал</v>
          </cell>
          <cell r="B285">
            <v>0</v>
          </cell>
          <cell r="C285">
            <v>0</v>
          </cell>
          <cell r="D285">
            <v>102</v>
          </cell>
          <cell r="E285">
            <v>28</v>
          </cell>
          <cell r="F285">
            <v>25.5</v>
          </cell>
          <cell r="G285">
            <v>4</v>
          </cell>
          <cell r="H285">
            <v>4</v>
          </cell>
          <cell r="I285">
            <v>25</v>
          </cell>
          <cell r="J285">
            <v>4</v>
          </cell>
        </row>
        <row r="286">
          <cell r="A286" t="str">
            <v>Прочий немедицинский персонал</v>
          </cell>
          <cell r="B286">
            <v>0</v>
          </cell>
          <cell r="C286">
            <v>0</v>
          </cell>
          <cell r="D286">
            <v>103</v>
          </cell>
          <cell r="E286">
            <v>57.75</v>
          </cell>
          <cell r="F286">
            <v>44.25</v>
          </cell>
          <cell r="G286">
            <v>3</v>
          </cell>
          <cell r="H286">
            <v>3</v>
          </cell>
          <cell r="I286">
            <v>40</v>
          </cell>
          <cell r="J286">
            <v>3</v>
          </cell>
        </row>
        <row r="287">
          <cell r="A287" t="str">
            <v xml:space="preserve">                      из них: социальные работники</v>
          </cell>
          <cell r="B287">
            <v>0</v>
          </cell>
          <cell r="C287">
            <v>0</v>
          </cell>
          <cell r="D287" t="str">
            <v>103.1</v>
          </cell>
          <cell r="E287">
            <v>1.5</v>
          </cell>
          <cell r="F287">
            <v>1.5</v>
          </cell>
          <cell r="G287">
            <v>0</v>
          </cell>
          <cell r="H287">
            <v>0</v>
          </cell>
          <cell r="I287">
            <v>1</v>
          </cell>
          <cell r="J287">
            <v>0</v>
          </cell>
        </row>
        <row r="288">
          <cell r="A288" t="str">
            <v>Всего должностей</v>
          </cell>
          <cell r="B288">
            <v>0</v>
          </cell>
          <cell r="C288">
            <v>0</v>
          </cell>
          <cell r="D288">
            <v>104</v>
          </cell>
          <cell r="E288">
            <v>226.5</v>
          </cell>
          <cell r="F288">
            <v>189</v>
          </cell>
          <cell r="G288">
            <v>65.25</v>
          </cell>
          <cell r="H288">
            <v>62.25</v>
          </cell>
          <cell r="I288">
            <v>179</v>
          </cell>
          <cell r="J288">
            <v>51</v>
          </cell>
        </row>
        <row r="293">
          <cell r="A293" t="str">
            <v xml:space="preserve">1103       Число физических лиц специалистов с высшим немедицинским образованием - основных работников, 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занимающих должности врачей-лаборантов __________</v>
          </cell>
          <cell r="B294">
            <v>0</v>
          </cell>
          <cell r="D294">
            <v>0</v>
          </cell>
          <cell r="E294" t="str">
            <v>врачей-статистиков __________</v>
          </cell>
          <cell r="F294">
            <v>0</v>
          </cell>
          <cell r="G294">
            <v>0</v>
          </cell>
        </row>
        <row r="295">
          <cell r="A295" t="str">
            <v>по лечебной физкультуре __________</v>
          </cell>
          <cell r="B295">
            <v>0</v>
          </cell>
          <cell r="D295">
            <v>0</v>
          </cell>
          <cell r="E295" t="str">
            <v>психологи __________</v>
          </cell>
          <cell r="F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>
            <v>1104</v>
          </cell>
          <cell r="B298" t="str">
            <v>ШТАТНЫЕ ДОЛЖНОСТИ ОРГАНИЗАЦИЙ НА ХОЗРАСЧЕТЕ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Наименование должности</v>
          </cell>
          <cell r="B299">
            <v>0</v>
          </cell>
          <cell r="C299">
            <v>0</v>
          </cell>
          <cell r="D299" t="str">
            <v>№ строки</v>
          </cell>
          <cell r="E299" t="str">
            <v>Число должностей в целом по организации</v>
          </cell>
          <cell r="F299">
            <v>0</v>
          </cell>
          <cell r="G299" t="str">
            <v>Число физических лиц на занятых должностях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 t="str">
            <v xml:space="preserve">штатные </v>
          </cell>
          <cell r="F300" t="str">
            <v>занятые</v>
          </cell>
          <cell r="G300">
            <v>0</v>
          </cell>
        </row>
        <row r="301">
          <cell r="A301" t="str">
            <v>А</v>
          </cell>
          <cell r="B301">
            <v>0</v>
          </cell>
          <cell r="C301">
            <v>0</v>
          </cell>
          <cell r="D301" t="str">
            <v>Б</v>
          </cell>
          <cell r="E301">
            <v>1</v>
          </cell>
          <cell r="F301">
            <v>2</v>
          </cell>
          <cell r="G301">
            <v>3</v>
          </cell>
        </row>
        <row r="302">
          <cell r="A302" t="str">
            <v>Врачи</v>
          </cell>
          <cell r="B302">
            <v>0</v>
          </cell>
          <cell r="C302">
            <v>0</v>
          </cell>
          <cell r="D302" t="str">
            <v>01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Специалисты с высшим немедицинским образованием</v>
          </cell>
          <cell r="B303">
            <v>0</v>
          </cell>
          <cell r="C303">
            <v>0</v>
          </cell>
          <cell r="D303" t="str">
            <v>02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Провизоры</v>
          </cell>
          <cell r="B304">
            <v>0</v>
          </cell>
          <cell r="C304">
            <v>0</v>
          </cell>
          <cell r="D304" t="str">
            <v>03</v>
          </cell>
          <cell r="E304">
            <v>0</v>
          </cell>
          <cell r="F304">
            <v>0</v>
          </cell>
          <cell r="G304">
            <v>0</v>
          </cell>
        </row>
        <row r="305">
          <cell r="A305" t="str">
            <v>Фармацевты</v>
          </cell>
          <cell r="B305">
            <v>0</v>
          </cell>
          <cell r="C305">
            <v>0</v>
          </cell>
          <cell r="D305" t="str">
            <v>04</v>
          </cell>
          <cell r="E305">
            <v>0</v>
          </cell>
          <cell r="F305">
            <v>0</v>
          </cell>
          <cell r="G305">
            <v>0</v>
          </cell>
        </row>
        <row r="306">
          <cell r="A306" t="str">
            <v>Средние медицинские работники</v>
          </cell>
          <cell r="B306">
            <v>0</v>
          </cell>
          <cell r="C306">
            <v>0</v>
          </cell>
          <cell r="D306" t="str">
            <v>05</v>
          </cell>
          <cell r="E306">
            <v>0</v>
          </cell>
          <cell r="F306">
            <v>0</v>
          </cell>
          <cell r="G306">
            <v>0</v>
          </cell>
        </row>
        <row r="307">
          <cell r="A307" t="str">
            <v>Прочие</v>
          </cell>
          <cell r="B307">
            <v>0</v>
          </cell>
          <cell r="C307">
            <v>0</v>
          </cell>
          <cell r="D307" t="str">
            <v>06</v>
          </cell>
          <cell r="E307">
            <v>0</v>
          </cell>
          <cell r="F307">
            <v>0</v>
          </cell>
          <cell r="G307">
            <v>0</v>
          </cell>
        </row>
        <row r="308">
          <cell r="A308" t="str">
            <v>Всего должностей</v>
          </cell>
          <cell r="B308">
            <v>0</v>
          </cell>
          <cell r="C308">
            <v>0</v>
          </cell>
          <cell r="D308" t="str">
            <v>07</v>
          </cell>
          <cell r="E308">
            <v>0</v>
          </cell>
          <cell r="F308">
            <v>0</v>
          </cell>
          <cell r="G30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.30(начало)"/>
      <sheetName val="ф.30_0"/>
      <sheetName val="ф.30_1"/>
      <sheetName val="ф.30(прод)"/>
      <sheetName val="ф.30(прод1)"/>
      <sheetName val="ф.30(прод2)"/>
      <sheetName val="ф.30(прод3)"/>
      <sheetName val="ф.30(прод4)"/>
      <sheetName val="ф.30(прод4)_1"/>
      <sheetName val="ф.30(прод4)_2"/>
      <sheetName val="ф.30(прод5)"/>
      <sheetName val="ф.30(прод6)"/>
    </sheetNames>
    <sheetDataSet>
      <sheetData sheetId="0">
        <row r="1">
          <cell r="A1" t="str">
            <v>Конфиденциальность гарантируется получателем информации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 t="str">
            <v xml:space="preserve">Приложение 19 к приказу
Министра здравоохранения
Республики Казахстан
от 22 декабря 2020 года
№ ҚР ДСМ-313/2020
</v>
          </cell>
          <cell r="H1">
            <v>0</v>
          </cell>
          <cell r="I1">
            <v>0</v>
          </cell>
          <cell r="J1">
            <v>0</v>
          </cell>
        </row>
        <row r="2">
          <cell r="A2" t="str">
            <v>Кем представляется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Наименование региона</v>
          </cell>
          <cell r="B3">
            <v>0</v>
          </cell>
          <cell r="C3" t="str">
            <v>Мангистауская область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Наименование МО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Разрез (НП)</v>
          </cell>
          <cell r="B5">
            <v>0</v>
          </cell>
          <cell r="C5" t="str">
            <v>город, село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 t="str">
            <v>Разрез (ПФ)</v>
          </cell>
          <cell r="B6">
            <v>0</v>
          </cell>
          <cell r="C6" t="str">
            <v>государственная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Форма, предназначенная для сбора административных данных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Представляется: Министерство здравоохранения Республики Казахстан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Отчет организации здравоохранения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Индекс: 19-ОМО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Периодичность: годовая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 t="str">
            <v xml:space="preserve">Отчетный период за </v>
          </cell>
          <cell r="E18">
            <v>0</v>
          </cell>
          <cell r="F18" t="str">
            <v>2022 год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 t="str">
            <v>Круг лиц, представляющих: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 t="str">
            <v>Организации здравоохранения районов, областей, города республиканского значения и столицы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 t="str">
            <v>Срок представления: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 t="str">
            <v>Один раз в год, 10 февраля, следующего за отчетным периодом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БИН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</row>
        <row r="52">
          <cell r="A52">
            <v>1001</v>
          </cell>
          <cell r="B52" t="str">
            <v xml:space="preserve">Отделения (кабинеты), прочие подразделения   </v>
          </cell>
          <cell r="C52">
            <v>0</v>
          </cell>
          <cell r="D52">
            <v>0</v>
          </cell>
          <cell r="E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A54" t="str">
            <v>Наименование отделения (кабинета)</v>
          </cell>
          <cell r="B54">
            <v>0</v>
          </cell>
          <cell r="C54">
            <v>0</v>
          </cell>
          <cell r="D54" t="str">
            <v>№ строки</v>
          </cell>
          <cell r="E54" t="str">
            <v>Число отделений (кабинетов)</v>
          </cell>
          <cell r="F54" t="str">
            <v>Наименование отделения (кабинета)</v>
          </cell>
          <cell r="G54">
            <v>0</v>
          </cell>
          <cell r="H54">
            <v>0</v>
          </cell>
          <cell r="I54" t="str">
            <v>№ строки</v>
          </cell>
          <cell r="J54" t="str">
            <v>Число отделений (кабинетов)</v>
          </cell>
        </row>
        <row r="55">
          <cell r="A55" t="str">
            <v>А</v>
          </cell>
          <cell r="B55">
            <v>0</v>
          </cell>
          <cell r="C55">
            <v>0</v>
          </cell>
          <cell r="D55">
            <v>0</v>
          </cell>
          <cell r="E55">
            <v>1</v>
          </cell>
          <cell r="F55" t="str">
            <v>А</v>
          </cell>
          <cell r="G55">
            <v>0</v>
          </cell>
          <cell r="H55">
            <v>0</v>
          </cell>
          <cell r="I55">
            <v>0</v>
          </cell>
          <cell r="J55">
            <v>1</v>
          </cell>
        </row>
        <row r="56">
          <cell r="A56" t="str">
            <v>Подростковое</v>
          </cell>
          <cell r="B56">
            <v>0</v>
          </cell>
          <cell r="C56">
            <v>0</v>
          </cell>
          <cell r="D56" t="str">
            <v>01</v>
          </cell>
          <cell r="E56">
            <v>2</v>
          </cell>
          <cell r="F56" t="str">
            <v>Антиалкогольной пропаганды и профилактической помощи</v>
          </cell>
          <cell r="G56">
            <v>0</v>
          </cell>
          <cell r="H56">
            <v>0</v>
          </cell>
          <cell r="I56">
            <v>40</v>
          </cell>
          <cell r="J56">
            <v>2</v>
          </cell>
        </row>
        <row r="57">
          <cell r="A57" t="str">
            <v>Пульмонологическое</v>
          </cell>
          <cell r="B57">
            <v>0</v>
          </cell>
          <cell r="C57">
            <v>0</v>
          </cell>
          <cell r="D57" t="str">
            <v>02</v>
          </cell>
          <cell r="E57">
            <v>0</v>
          </cell>
          <cell r="F57" t="str">
            <v>Дерматовенерологическое</v>
          </cell>
          <cell r="G57">
            <v>0</v>
          </cell>
          <cell r="H57">
            <v>0</v>
          </cell>
          <cell r="I57">
            <v>41</v>
          </cell>
          <cell r="J57">
            <v>12</v>
          </cell>
        </row>
        <row r="58">
          <cell r="A58" t="str">
            <v>Ревматологическое</v>
          </cell>
          <cell r="B58">
            <v>0</v>
          </cell>
          <cell r="C58">
            <v>0</v>
          </cell>
          <cell r="D58" t="str">
            <v>03</v>
          </cell>
          <cell r="E58">
            <v>3</v>
          </cell>
          <cell r="F58" t="str">
            <v>Профилактики</v>
          </cell>
          <cell r="G58">
            <v>0</v>
          </cell>
          <cell r="H58">
            <v>0</v>
          </cell>
          <cell r="I58">
            <v>42</v>
          </cell>
          <cell r="J58">
            <v>19</v>
          </cell>
        </row>
        <row r="59">
          <cell r="A59" t="str">
            <v>Кардиологическое</v>
          </cell>
          <cell r="B59">
            <v>0</v>
          </cell>
          <cell r="C59">
            <v>0</v>
          </cell>
          <cell r="D59" t="str">
            <v>04</v>
          </cell>
          <cell r="E59">
            <v>14</v>
          </cell>
          <cell r="F59" t="str">
            <v>Физиотерапевтическое</v>
          </cell>
          <cell r="G59">
            <v>0</v>
          </cell>
          <cell r="H59">
            <v>0</v>
          </cell>
          <cell r="I59">
            <v>43</v>
          </cell>
          <cell r="J59">
            <v>46</v>
          </cell>
        </row>
        <row r="60">
          <cell r="A60" t="str">
            <v>Гастроэнтерологическое</v>
          </cell>
          <cell r="B60">
            <v>0</v>
          </cell>
          <cell r="C60">
            <v>0</v>
          </cell>
          <cell r="D60" t="str">
            <v>05</v>
          </cell>
          <cell r="E60">
            <v>6</v>
          </cell>
          <cell r="F60" t="str">
            <v>Иглорефлексотерапии</v>
          </cell>
          <cell r="G60">
            <v>0</v>
          </cell>
          <cell r="H60">
            <v>0</v>
          </cell>
          <cell r="I60">
            <v>44</v>
          </cell>
          <cell r="J60">
            <v>0</v>
          </cell>
        </row>
        <row r="61">
          <cell r="A61" t="str">
            <v>Эндокринологическое</v>
          </cell>
          <cell r="B61">
            <v>0</v>
          </cell>
          <cell r="C61">
            <v>0</v>
          </cell>
          <cell r="D61" t="str">
            <v>06</v>
          </cell>
          <cell r="E61">
            <v>8</v>
          </cell>
          <cell r="F61" t="str">
            <v>Лечебной физкультуры для взрослых</v>
          </cell>
          <cell r="G61">
            <v>0</v>
          </cell>
          <cell r="H61">
            <v>0</v>
          </cell>
          <cell r="I61">
            <v>45</v>
          </cell>
          <cell r="J61">
            <v>2</v>
          </cell>
        </row>
        <row r="62">
          <cell r="A62" t="str">
            <v>Аллергологическое</v>
          </cell>
          <cell r="B62">
            <v>0</v>
          </cell>
          <cell r="C62">
            <v>0</v>
          </cell>
          <cell r="D62" t="str">
            <v>07</v>
          </cell>
          <cell r="E62">
            <v>0</v>
          </cell>
          <cell r="F62" t="str">
            <v>Лечебной физкультуры для детей</v>
          </cell>
          <cell r="G62">
            <v>0</v>
          </cell>
          <cell r="H62">
            <v>0</v>
          </cell>
          <cell r="I62">
            <v>46</v>
          </cell>
          <cell r="J62">
            <v>2</v>
          </cell>
        </row>
        <row r="63">
          <cell r="A63" t="str">
            <v>Инфекционное для взрослых</v>
          </cell>
          <cell r="B63">
            <v>0</v>
          </cell>
          <cell r="C63">
            <v>0</v>
          </cell>
          <cell r="D63" t="str">
            <v>08</v>
          </cell>
          <cell r="E63">
            <v>9</v>
          </cell>
          <cell r="F63" t="str">
            <v>Женская консультация</v>
          </cell>
          <cell r="G63">
            <v>0</v>
          </cell>
          <cell r="H63">
            <v>0</v>
          </cell>
          <cell r="I63">
            <v>47</v>
          </cell>
          <cell r="J63">
            <v>23</v>
          </cell>
        </row>
        <row r="64">
          <cell r="A64" t="str">
            <v>Инфекционное для детей</v>
          </cell>
          <cell r="B64">
            <v>0</v>
          </cell>
          <cell r="C64">
            <v>0</v>
          </cell>
          <cell r="D64" t="str">
            <v>09</v>
          </cell>
          <cell r="E64">
            <v>0</v>
          </cell>
          <cell r="F64" t="str">
            <v>Восстановительного лечения</v>
          </cell>
          <cell r="G64">
            <v>0</v>
          </cell>
          <cell r="H64">
            <v>0</v>
          </cell>
          <cell r="I64">
            <v>48</v>
          </cell>
          <cell r="J64">
            <v>3</v>
          </cell>
        </row>
        <row r="65">
          <cell r="A65" t="str">
            <v>Врачебного контроля за занимающимися физкультурой и спортом</v>
          </cell>
          <cell r="B65">
            <v>0</v>
          </cell>
          <cell r="C65">
            <v>0</v>
          </cell>
          <cell r="D65">
            <v>10</v>
          </cell>
          <cell r="E65">
            <v>0</v>
          </cell>
          <cell r="F65" t="str">
            <v>Рентгенологическое</v>
          </cell>
          <cell r="G65">
            <v>0</v>
          </cell>
          <cell r="H65">
            <v>0</v>
          </cell>
          <cell r="I65">
            <v>49</v>
          </cell>
          <cell r="J65">
            <v>22</v>
          </cell>
        </row>
        <row r="66">
          <cell r="A66" t="str">
            <v>Неврологическое</v>
          </cell>
          <cell r="B66">
            <v>0</v>
          </cell>
          <cell r="C66">
            <v>0</v>
          </cell>
          <cell r="D66">
            <v>11</v>
          </cell>
          <cell r="E66">
            <v>12</v>
          </cell>
          <cell r="F66" t="str">
            <v>Компьютерной томографии</v>
          </cell>
          <cell r="G66">
            <v>0</v>
          </cell>
          <cell r="H66">
            <v>0</v>
          </cell>
          <cell r="I66">
            <v>50</v>
          </cell>
          <cell r="J66">
            <v>6</v>
          </cell>
        </row>
        <row r="67">
          <cell r="A67" t="str">
            <v>Травматологическое (ортопедическое)</v>
          </cell>
          <cell r="B67">
            <v>0</v>
          </cell>
          <cell r="C67">
            <v>0</v>
          </cell>
          <cell r="D67">
            <v>12</v>
          </cell>
          <cell r="E67">
            <v>9</v>
          </cell>
          <cell r="F67" t="str">
            <v>Флюорографическое</v>
          </cell>
          <cell r="G67">
            <v>0</v>
          </cell>
          <cell r="H67">
            <v>0</v>
          </cell>
          <cell r="I67">
            <v>51</v>
          </cell>
          <cell r="J67">
            <v>20</v>
          </cell>
        </row>
        <row r="68">
          <cell r="A68" t="str">
            <v>Урологическое</v>
          </cell>
          <cell r="B68">
            <v>0</v>
          </cell>
          <cell r="C68">
            <v>0</v>
          </cell>
          <cell r="D68">
            <v>13</v>
          </cell>
          <cell r="E68">
            <v>6</v>
          </cell>
          <cell r="F68" t="str">
            <v>Электрокардиографии и функциональной диагностики</v>
          </cell>
          <cell r="G68">
            <v>0</v>
          </cell>
          <cell r="H68">
            <v>0</v>
          </cell>
          <cell r="I68">
            <v>52</v>
          </cell>
          <cell r="J68">
            <v>29</v>
          </cell>
        </row>
        <row r="69">
          <cell r="A69" t="str">
            <v>Онкологическое</v>
          </cell>
          <cell r="B69">
            <v>0</v>
          </cell>
          <cell r="C69">
            <v>0</v>
          </cell>
          <cell r="D69">
            <v>14</v>
          </cell>
          <cell r="E69">
            <v>11</v>
          </cell>
          <cell r="F69" t="str">
            <v xml:space="preserve">Дистанционно-диагностический </v>
          </cell>
          <cell r="G69">
            <v>0</v>
          </cell>
          <cell r="H69">
            <v>0</v>
          </cell>
          <cell r="I69">
            <v>53</v>
          </cell>
          <cell r="J69">
            <v>0</v>
          </cell>
        </row>
        <row r="70">
          <cell r="A70" t="str">
            <v>Радиологическое (лучевой терапии)</v>
          </cell>
          <cell r="B70">
            <v>0</v>
          </cell>
          <cell r="C70">
            <v>0</v>
          </cell>
          <cell r="D70">
            <v>15</v>
          </cell>
          <cell r="E70">
            <v>1</v>
          </cell>
          <cell r="F70" t="str">
            <v>Эндоскопии</v>
          </cell>
          <cell r="G70">
            <v>0</v>
          </cell>
          <cell r="H70">
            <v>0</v>
          </cell>
          <cell r="I70">
            <v>54</v>
          </cell>
          <cell r="J70">
            <v>11</v>
          </cell>
        </row>
        <row r="71">
          <cell r="A71" t="str">
            <v>Стоматологическое (зубоврачебное)</v>
          </cell>
          <cell r="B71">
            <v>0</v>
          </cell>
          <cell r="C71">
            <v>0</v>
          </cell>
          <cell r="D71">
            <v>16</v>
          </cell>
          <cell r="E71">
            <v>23</v>
          </cell>
          <cell r="F71" t="str">
            <v>Ультразвуковой диагностики</v>
          </cell>
          <cell r="G71">
            <v>0</v>
          </cell>
          <cell r="H71">
            <v>0</v>
          </cell>
          <cell r="I71">
            <v>55</v>
          </cell>
          <cell r="J71">
            <v>26</v>
          </cell>
        </row>
        <row r="72">
          <cell r="A72" t="str">
            <v>Зубопротезное</v>
          </cell>
          <cell r="B72">
            <v>0</v>
          </cell>
          <cell r="C72">
            <v>0</v>
          </cell>
          <cell r="D72">
            <v>17</v>
          </cell>
          <cell r="E72">
            <v>0</v>
          </cell>
          <cell r="F72" t="str">
            <v>Переливания крови</v>
          </cell>
          <cell r="G72">
            <v>0</v>
          </cell>
          <cell r="H72">
            <v>0</v>
          </cell>
          <cell r="I72">
            <v>56</v>
          </cell>
          <cell r="J72">
            <v>3</v>
          </cell>
        </row>
        <row r="73">
          <cell r="A73" t="str">
            <v>Ортодонтическое</v>
          </cell>
          <cell r="B73">
            <v>0</v>
          </cell>
          <cell r="C73">
            <v>0</v>
          </cell>
          <cell r="D73">
            <v>18</v>
          </cell>
          <cell r="E73">
            <v>0</v>
          </cell>
          <cell r="F73" t="str">
            <v>Гипербарической оксингенации</v>
          </cell>
          <cell r="G73">
            <v>0</v>
          </cell>
          <cell r="H73">
            <v>0</v>
          </cell>
          <cell r="I73">
            <v>57</v>
          </cell>
          <cell r="J73">
            <v>0</v>
          </cell>
        </row>
        <row r="74">
          <cell r="A74" t="str">
            <v>Акушерско-гинекологическое</v>
          </cell>
          <cell r="B74">
            <v>0</v>
          </cell>
          <cell r="C74">
            <v>0</v>
          </cell>
          <cell r="D74">
            <v>19</v>
          </cell>
          <cell r="E74">
            <v>39</v>
          </cell>
          <cell r="F74" t="str">
            <v>Гемодиализа</v>
          </cell>
          <cell r="G74">
            <v>0</v>
          </cell>
          <cell r="H74">
            <v>0</v>
          </cell>
          <cell r="I74">
            <v>58</v>
          </cell>
          <cell r="J74">
            <v>1</v>
          </cell>
        </row>
        <row r="75">
          <cell r="A75" t="str">
            <v>Смотровой (женский)</v>
          </cell>
          <cell r="B75">
            <v>0</v>
          </cell>
          <cell r="C75">
            <v>0</v>
          </cell>
          <cell r="D75">
            <v>20</v>
          </cell>
          <cell r="E75">
            <v>44</v>
          </cell>
          <cell r="F75" t="str">
            <v>Гемосорбции</v>
          </cell>
          <cell r="G75">
            <v>0</v>
          </cell>
          <cell r="H75">
            <v>0</v>
          </cell>
          <cell r="I75">
            <v>59</v>
          </cell>
          <cell r="J75">
            <v>0</v>
          </cell>
        </row>
        <row r="76">
          <cell r="A76" t="str">
            <v>Смотровой (мужской)</v>
          </cell>
          <cell r="B76">
            <v>0</v>
          </cell>
          <cell r="C76">
            <v>0</v>
          </cell>
          <cell r="D76">
            <v>21</v>
          </cell>
          <cell r="E76">
            <v>12</v>
          </cell>
          <cell r="F76" t="str">
            <v>Патологоанатомическое</v>
          </cell>
          <cell r="G76">
            <v>0</v>
          </cell>
          <cell r="H76">
            <v>0</v>
          </cell>
          <cell r="I76">
            <v>60</v>
          </cell>
          <cell r="J76">
            <v>1</v>
          </cell>
        </row>
        <row r="77">
          <cell r="A77" t="str">
            <v>Мамологический</v>
          </cell>
          <cell r="B77">
            <v>0</v>
          </cell>
          <cell r="C77">
            <v>0</v>
          </cell>
          <cell r="D77">
            <v>22</v>
          </cell>
          <cell r="E77">
            <v>3</v>
          </cell>
          <cell r="F77" t="str">
            <v>Лаборатории :</v>
          </cell>
          <cell r="G77">
            <v>0</v>
          </cell>
          <cell r="H77">
            <v>0</v>
          </cell>
          <cell r="I77">
            <v>61</v>
          </cell>
          <cell r="J77">
            <v>0</v>
          </cell>
        </row>
        <row r="78">
          <cell r="A78" t="str">
            <v>Консультация "Брак и семья"</v>
          </cell>
          <cell r="B78">
            <v>0</v>
          </cell>
          <cell r="C78">
            <v>0</v>
          </cell>
          <cell r="D78">
            <v>23</v>
          </cell>
          <cell r="E78">
            <v>0</v>
          </cell>
          <cell r="F78" t="str">
            <v xml:space="preserve">     радиоизотопной диагностики</v>
          </cell>
          <cell r="G78">
            <v>0</v>
          </cell>
          <cell r="H78">
            <v>0</v>
          </cell>
          <cell r="I78" t="str">
            <v>61.1</v>
          </cell>
          <cell r="J78">
            <v>0</v>
          </cell>
        </row>
        <row r="79">
          <cell r="A79" t="str">
            <v>По медицинской генетике</v>
          </cell>
          <cell r="B79">
            <v>0</v>
          </cell>
          <cell r="C79">
            <v>0</v>
          </cell>
          <cell r="D79">
            <v>24</v>
          </cell>
          <cell r="E79">
            <v>0</v>
          </cell>
          <cell r="F79" t="str">
            <v xml:space="preserve">     клинико-диагностическая</v>
          </cell>
          <cell r="G79">
            <v>0</v>
          </cell>
          <cell r="H79">
            <v>0</v>
          </cell>
          <cell r="I79" t="str">
            <v>61.2</v>
          </cell>
          <cell r="J79">
            <v>35</v>
          </cell>
        </row>
        <row r="80">
          <cell r="A80" t="str">
            <v>Педиатрическое</v>
          </cell>
          <cell r="B80">
            <v>0</v>
          </cell>
          <cell r="C80">
            <v>0</v>
          </cell>
          <cell r="D80">
            <v>25</v>
          </cell>
          <cell r="E80">
            <v>23</v>
          </cell>
          <cell r="F80" t="str">
            <v xml:space="preserve">     бактериологическая</v>
          </cell>
          <cell r="G80">
            <v>0</v>
          </cell>
          <cell r="H80">
            <v>0</v>
          </cell>
          <cell r="I80" t="str">
            <v>61.3</v>
          </cell>
          <cell r="J80">
            <v>5</v>
          </cell>
        </row>
        <row r="81">
          <cell r="A81" t="str">
            <v>Кабинет здорового ребенка</v>
          </cell>
          <cell r="B81">
            <v>0</v>
          </cell>
          <cell r="C81">
            <v>0</v>
          </cell>
          <cell r="D81" t="str">
            <v>25.1</v>
          </cell>
          <cell r="E81">
            <v>24</v>
          </cell>
          <cell r="F81" t="str">
            <v xml:space="preserve">     серологическая</v>
          </cell>
          <cell r="G81">
            <v>0</v>
          </cell>
          <cell r="H81">
            <v>0</v>
          </cell>
          <cell r="I81" t="str">
            <v>61.4</v>
          </cell>
          <cell r="J81">
            <v>4</v>
          </cell>
        </row>
        <row r="82">
          <cell r="A82" t="str">
            <v>Терапевтическое</v>
          </cell>
          <cell r="B82">
            <v>0</v>
          </cell>
          <cell r="C82">
            <v>0</v>
          </cell>
          <cell r="D82">
            <v>26</v>
          </cell>
          <cell r="E82">
            <v>20</v>
          </cell>
          <cell r="F82" t="str">
            <v xml:space="preserve">     биохимическая</v>
          </cell>
          <cell r="G82">
            <v>0</v>
          </cell>
          <cell r="H82">
            <v>0</v>
          </cell>
          <cell r="I82" t="str">
            <v>61.5</v>
          </cell>
          <cell r="J82">
            <v>8</v>
          </cell>
        </row>
        <row r="83">
          <cell r="A83" t="str">
            <v>Прививочный</v>
          </cell>
          <cell r="B83">
            <v>0</v>
          </cell>
          <cell r="C83">
            <v>0</v>
          </cell>
          <cell r="D83">
            <v>27</v>
          </cell>
          <cell r="E83">
            <v>54</v>
          </cell>
          <cell r="F83" t="str">
            <v xml:space="preserve">     цитологическая</v>
          </cell>
          <cell r="G83">
            <v>0</v>
          </cell>
          <cell r="H83">
            <v>0</v>
          </cell>
          <cell r="I83" t="str">
            <v>61.6</v>
          </cell>
          <cell r="J83">
            <v>2</v>
          </cell>
        </row>
        <row r="84">
          <cell r="A84" t="str">
            <v>Офтальмологическое</v>
          </cell>
          <cell r="B84">
            <v>0</v>
          </cell>
          <cell r="C84">
            <v>0</v>
          </cell>
          <cell r="D84">
            <v>28</v>
          </cell>
          <cell r="E84">
            <v>14</v>
          </cell>
          <cell r="F84" t="str">
            <v>Статистики</v>
          </cell>
          <cell r="G84">
            <v>0</v>
          </cell>
          <cell r="H84">
            <v>0</v>
          </cell>
          <cell r="I84">
            <v>62</v>
          </cell>
          <cell r="J84">
            <v>17</v>
          </cell>
        </row>
        <row r="85">
          <cell r="A85" t="str">
            <v>Отоларингологическое</v>
          </cell>
          <cell r="B85">
            <v>0</v>
          </cell>
          <cell r="C85">
            <v>0</v>
          </cell>
          <cell r="D85">
            <v>29</v>
          </cell>
          <cell r="E85">
            <v>11</v>
          </cell>
          <cell r="F85" t="str">
            <v>Отдел статистики в составе оргметодотдела</v>
          </cell>
          <cell r="G85">
            <v>0</v>
          </cell>
          <cell r="H85">
            <v>0</v>
          </cell>
          <cell r="I85">
            <v>63</v>
          </cell>
          <cell r="J85">
            <v>9</v>
          </cell>
        </row>
        <row r="86">
          <cell r="A86" t="str">
            <v>Сурдологическое</v>
          </cell>
          <cell r="B86">
            <v>0</v>
          </cell>
          <cell r="C86">
            <v>0</v>
          </cell>
          <cell r="D86">
            <v>30</v>
          </cell>
          <cell r="E86">
            <v>2</v>
          </cell>
          <cell r="F86" t="str">
            <v>Социально-правовой</v>
          </cell>
          <cell r="G86">
            <v>0</v>
          </cell>
          <cell r="H86">
            <v>0</v>
          </cell>
          <cell r="I86">
            <v>64</v>
          </cell>
          <cell r="J86">
            <v>1</v>
          </cell>
        </row>
        <row r="87">
          <cell r="A87" t="str">
            <v>Фтизиатрическое</v>
          </cell>
          <cell r="B87">
            <v>0</v>
          </cell>
          <cell r="C87">
            <v>0</v>
          </cell>
          <cell r="D87">
            <v>31</v>
          </cell>
          <cell r="E87">
            <v>13</v>
          </cell>
          <cell r="F87" t="str">
            <v>Лазерной терапии</v>
          </cell>
          <cell r="G87">
            <v>0</v>
          </cell>
          <cell r="H87">
            <v>0</v>
          </cell>
          <cell r="I87">
            <v>65</v>
          </cell>
          <cell r="J87">
            <v>2</v>
          </cell>
        </row>
        <row r="88">
          <cell r="A88" t="str">
            <v>Психиатрическое</v>
          </cell>
          <cell r="B88">
            <v>0</v>
          </cell>
          <cell r="C88">
            <v>0</v>
          </cell>
          <cell r="D88">
            <v>32</v>
          </cell>
          <cell r="E88">
            <v>16</v>
          </cell>
          <cell r="F88" t="str">
            <v>Магнитно-резонансной томографии</v>
          </cell>
          <cell r="G88">
            <v>0</v>
          </cell>
          <cell r="H88">
            <v>0</v>
          </cell>
          <cell r="I88">
            <v>66</v>
          </cell>
          <cell r="J88">
            <v>1</v>
          </cell>
        </row>
        <row r="89">
          <cell r="A89" t="str">
            <v>Психотерапевтическое</v>
          </cell>
          <cell r="B89">
            <v>0</v>
          </cell>
          <cell r="C89">
            <v>0</v>
          </cell>
          <cell r="D89">
            <v>33</v>
          </cell>
          <cell r="E89">
            <v>0</v>
          </cell>
          <cell r="F89" t="str">
            <v>Планирование семьи</v>
          </cell>
          <cell r="G89">
            <v>0</v>
          </cell>
          <cell r="H89">
            <v>0</v>
          </cell>
          <cell r="I89">
            <v>67</v>
          </cell>
          <cell r="J89">
            <v>6</v>
          </cell>
        </row>
        <row r="90">
          <cell r="A90" t="str">
            <v>Судебно-психиатрической экспертизы</v>
          </cell>
          <cell r="B90">
            <v>0</v>
          </cell>
          <cell r="C90">
            <v>0</v>
          </cell>
          <cell r="D90">
            <v>34</v>
          </cell>
          <cell r="E90">
            <v>0</v>
          </cell>
          <cell r="F90" t="str">
            <v>Число врачебных участков</v>
          </cell>
          <cell r="G90">
            <v>0</v>
          </cell>
          <cell r="H90">
            <v>0</v>
          </cell>
          <cell r="I90" t="str">
            <v>68</v>
          </cell>
          <cell r="J90">
            <v>309</v>
          </cell>
        </row>
        <row r="91">
          <cell r="A91" t="str">
            <v>Медицинской психологии</v>
          </cell>
          <cell r="B91">
            <v>0</v>
          </cell>
          <cell r="C91">
            <v>0</v>
          </cell>
          <cell r="D91">
            <v>35</v>
          </cell>
          <cell r="E91">
            <v>9</v>
          </cell>
          <cell r="F91" t="str">
            <v>терапевтических</v>
          </cell>
          <cell r="G91">
            <v>0</v>
          </cell>
          <cell r="H91">
            <v>0</v>
          </cell>
          <cell r="I91" t="str">
            <v>68.1</v>
          </cell>
          <cell r="J91">
            <v>23</v>
          </cell>
        </row>
        <row r="92">
          <cell r="A92" t="str">
            <v>Наркологическое</v>
          </cell>
          <cell r="B92">
            <v>0</v>
          </cell>
          <cell r="C92">
            <v>0</v>
          </cell>
          <cell r="D92">
            <v>36</v>
          </cell>
          <cell r="E92">
            <v>7</v>
          </cell>
          <cell r="F92" t="str">
            <v>педиатрических</v>
          </cell>
          <cell r="G92">
            <v>0</v>
          </cell>
          <cell r="H92">
            <v>0</v>
          </cell>
          <cell r="I92" t="str">
            <v>68.2</v>
          </cell>
          <cell r="J92">
            <v>33</v>
          </cell>
        </row>
        <row r="93">
          <cell r="A93" t="str">
            <v xml:space="preserve">Детско-подростковые наркологические </v>
          </cell>
          <cell r="B93">
            <v>0</v>
          </cell>
          <cell r="C93">
            <v>0</v>
          </cell>
          <cell r="D93">
            <v>37</v>
          </cell>
          <cell r="E93">
            <v>0</v>
          </cell>
          <cell r="F93" t="str">
            <v>ВОП</v>
          </cell>
          <cell r="G93">
            <v>0</v>
          </cell>
          <cell r="H93">
            <v>0</v>
          </cell>
          <cell r="I93" t="str">
            <v>68.3</v>
          </cell>
          <cell r="J93">
            <v>253</v>
          </cell>
        </row>
        <row r="94">
          <cell r="A94" t="str">
            <v>Анонимного лечения наркологических больных</v>
          </cell>
          <cell r="B94">
            <v>0</v>
          </cell>
          <cell r="C94">
            <v>0</v>
          </cell>
          <cell r="D94">
            <v>38</v>
          </cell>
          <cell r="E94">
            <v>0</v>
          </cell>
          <cell r="F94" t="str">
            <v>Молочная кухня</v>
          </cell>
          <cell r="G94">
            <v>0</v>
          </cell>
          <cell r="H94">
            <v>0</v>
          </cell>
          <cell r="I94" t="str">
            <v>69</v>
          </cell>
          <cell r="J94">
            <v>0</v>
          </cell>
        </row>
        <row r="95">
          <cell r="A95" t="str">
            <v>Экспертизы алкогольного опьянения</v>
          </cell>
          <cell r="B95">
            <v>0</v>
          </cell>
          <cell r="C95">
            <v>0</v>
          </cell>
          <cell r="D95">
            <v>39</v>
          </cell>
          <cell r="E95">
            <v>3</v>
          </cell>
          <cell r="F95" t="str">
            <v>Аптека</v>
          </cell>
          <cell r="G95">
            <v>0</v>
          </cell>
          <cell r="H95">
            <v>0</v>
          </cell>
          <cell r="I95">
            <v>70</v>
          </cell>
          <cell r="J95">
            <v>6</v>
          </cell>
        </row>
        <row r="97">
          <cell r="A97" t="str">
            <v>Примечание: строки 1-41и 47, 67, 68.1, 68.2, 68.3 заполняют только амбулаторно-поликлинические организации.</v>
          </cell>
        </row>
        <row r="101">
          <cell r="A101">
            <v>1003</v>
          </cell>
          <cell r="B101">
            <v>0</v>
          </cell>
          <cell r="C101" t="str">
            <v>III.  ПЕРЕДВИЖНЫЕ   УСТАНОВКИ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</row>
        <row r="102">
          <cell r="A102">
            <v>0</v>
          </cell>
          <cell r="B102" t="str">
            <v>Наименование</v>
          </cell>
          <cell r="C102">
            <v>0</v>
          </cell>
          <cell r="D102">
            <v>0</v>
          </cell>
          <cell r="E102" t="str">
            <v>№строки</v>
          </cell>
          <cell r="F102" t="str">
            <v>Всего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 xml:space="preserve">        А</v>
          </cell>
          <cell r="B103">
            <v>0</v>
          </cell>
          <cell r="C103">
            <v>0</v>
          </cell>
          <cell r="D103">
            <v>0</v>
          </cell>
          <cell r="E103" t="str">
            <v>Б</v>
          </cell>
          <cell r="F103">
            <v>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 xml:space="preserve"> Передвижные медицинские комплексы</v>
          </cell>
          <cell r="B104">
            <v>0</v>
          </cell>
          <cell r="C104">
            <v>0</v>
          </cell>
          <cell r="D104">
            <v>0</v>
          </cell>
          <cell r="E104" t="str">
            <v>01</v>
          </cell>
          <cell r="F104">
            <v>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</row>
        <row r="105">
          <cell r="A105" t="str">
            <v xml:space="preserve"> Стоматологические установки</v>
          </cell>
          <cell r="B105">
            <v>0</v>
          </cell>
          <cell r="C105">
            <v>0</v>
          </cell>
          <cell r="D105">
            <v>0</v>
          </cell>
          <cell r="E105" t="str">
            <v>02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A106" t="str">
            <v xml:space="preserve"> Флюорографические установки</v>
          </cell>
          <cell r="B106">
            <v>0</v>
          </cell>
          <cell r="C106">
            <v>0</v>
          </cell>
          <cell r="D106">
            <v>0</v>
          </cell>
          <cell r="E106" t="str">
            <v>03</v>
          </cell>
          <cell r="F106">
            <v>1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 t="str">
            <v xml:space="preserve"> Клинико-диагностические лаборатории</v>
          </cell>
          <cell r="B107">
            <v>0</v>
          </cell>
          <cell r="C107">
            <v>0</v>
          </cell>
          <cell r="D107">
            <v>0</v>
          </cell>
          <cell r="E107" t="str">
            <v>04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11">
          <cell r="A111">
            <v>1006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 t="str">
            <v>Число травмпунктов _4_</v>
          </cell>
          <cell r="B112">
            <v>0</v>
          </cell>
          <cell r="C112" t="str">
            <v>число посещений травматологических пунктов всего __46163___</v>
          </cell>
          <cell r="E112">
            <v>0</v>
          </cell>
          <cell r="F112">
            <v>0</v>
          </cell>
          <cell r="G112">
            <v>0</v>
          </cell>
        </row>
        <row r="113">
          <cell r="A113" t="str">
            <v>в том числе детьми до 14 лет включительно ____22318____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6">
          <cell r="A116">
            <v>1007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Число посещений в ПМК всего ____135394____</v>
          </cell>
          <cell r="B117">
            <v>0</v>
          </cell>
          <cell r="C117" t="str">
            <v>в том числе детей до 14 лет включительно ____101509____</v>
          </cell>
          <cell r="D117">
            <v>0</v>
          </cell>
          <cell r="E117">
            <v>0</v>
          </cell>
          <cell r="F117">
            <v>0</v>
          </cell>
        </row>
        <row r="121">
          <cell r="A121" t="str">
            <v>1010   VII. МОЩНОСТЬ (число посещений в смену)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 t="str">
            <v>Поликлиники (поликлинического отделения) ____4268____</v>
          </cell>
          <cell r="B122">
            <v>0</v>
          </cell>
          <cell r="E122" t="str">
            <v>Детской поликлиники __________</v>
          </cell>
          <cell r="F122">
            <v>0</v>
          </cell>
          <cell r="G122">
            <v>0</v>
          </cell>
        </row>
        <row r="123">
          <cell r="A123" t="str">
            <v>Женской консультации __________</v>
          </cell>
          <cell r="B123">
            <v>0</v>
          </cell>
          <cell r="E123" t="str">
            <v>Диспансерного отделения (больницы, диспансера) ____100____</v>
          </cell>
          <cell r="F123">
            <v>0</v>
          </cell>
          <cell r="G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7">
          <cell r="A127">
            <v>1100</v>
          </cell>
          <cell r="B127" t="str">
            <v xml:space="preserve"> I. ШТАТНЫЕ ДОЛЖНОСТИ ОРГАНИЗАЦИИ НА КОНЕЦ ОТЧЕТНОГО ГОДА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A128" t="str">
            <v>Наименование должности</v>
          </cell>
          <cell r="B128">
            <v>0</v>
          </cell>
          <cell r="C128">
            <v>0</v>
          </cell>
          <cell r="D128" t="str">
            <v>№ строки</v>
          </cell>
          <cell r="E128" t="str">
            <v>Число должностей в целом по организации</v>
          </cell>
          <cell r="F128">
            <v>0</v>
          </cell>
          <cell r="G128" t="str">
            <v>в том числе в поликлинике (амбулатории), диспансере,консультации</v>
          </cell>
          <cell r="H128">
            <v>0</v>
          </cell>
          <cell r="I128" t="str">
            <v>Число физических лиц основных работников на занятых должностях</v>
          </cell>
          <cell r="J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 t="str">
            <v xml:space="preserve">  штатные </v>
          </cell>
          <cell r="F129" t="str">
            <v>занятые</v>
          </cell>
          <cell r="G129" t="str">
            <v xml:space="preserve">  штатные </v>
          </cell>
          <cell r="H129" t="str">
            <v xml:space="preserve">  занятые</v>
          </cell>
          <cell r="I129" t="str">
            <v>в целом по организа-ции</v>
          </cell>
          <cell r="J129" t="str">
            <v>из них в поликлинике, диспансере, консультации</v>
          </cell>
        </row>
        <row r="130">
          <cell r="A130" t="str">
            <v>А</v>
          </cell>
          <cell r="B130">
            <v>0</v>
          </cell>
          <cell r="C130">
            <v>0</v>
          </cell>
          <cell r="D130" t="str">
            <v>Б</v>
          </cell>
          <cell r="E130">
            <v>1</v>
          </cell>
          <cell r="F130">
            <v>2</v>
          </cell>
          <cell r="G130">
            <v>3</v>
          </cell>
          <cell r="H130">
            <v>4</v>
          </cell>
          <cell r="I130">
            <v>5</v>
          </cell>
          <cell r="J130">
            <v>6</v>
          </cell>
        </row>
        <row r="131">
          <cell r="A131" t="str">
            <v xml:space="preserve"> Врачи, всего</v>
          </cell>
          <cell r="B131">
            <v>0</v>
          </cell>
          <cell r="C131">
            <v>0</v>
          </cell>
          <cell r="D131" t="str">
            <v>01</v>
          </cell>
          <cell r="E131">
            <v>2230.75</v>
          </cell>
          <cell r="F131">
            <v>1841</v>
          </cell>
          <cell r="G131">
            <v>1151.25</v>
          </cell>
          <cell r="H131">
            <v>1000</v>
          </cell>
          <cell r="I131">
            <v>1268</v>
          </cell>
          <cell r="J131">
            <v>750</v>
          </cell>
        </row>
        <row r="132">
          <cell r="A132" t="str">
            <v>в том числе руководители организации здравоохранения</v>
          </cell>
          <cell r="B132">
            <v>0</v>
          </cell>
          <cell r="C132">
            <v>0</v>
          </cell>
          <cell r="D132" t="str">
            <v>02</v>
          </cell>
          <cell r="E132">
            <v>27.25</v>
          </cell>
          <cell r="F132">
            <v>24</v>
          </cell>
          <cell r="G132">
            <v>8.25</v>
          </cell>
          <cell r="H132">
            <v>6.5</v>
          </cell>
          <cell r="I132">
            <v>21</v>
          </cell>
          <cell r="J132">
            <v>6</v>
          </cell>
        </row>
        <row r="133">
          <cell r="A133" t="str">
            <v xml:space="preserve">заместители руководителя по медицинской части               </v>
          </cell>
          <cell r="B133">
            <v>0</v>
          </cell>
          <cell r="C133">
            <v>0</v>
          </cell>
          <cell r="D133" t="str">
            <v>03</v>
          </cell>
          <cell r="E133">
            <v>65.5</v>
          </cell>
          <cell r="F133">
            <v>59</v>
          </cell>
          <cell r="G133">
            <v>37.75</v>
          </cell>
          <cell r="H133">
            <v>34.75</v>
          </cell>
          <cell r="I133">
            <v>50</v>
          </cell>
          <cell r="J133">
            <v>28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A135" t="str">
            <v>менеджеры здравоохранения</v>
          </cell>
          <cell r="B135">
            <v>0</v>
          </cell>
          <cell r="C135">
            <v>0</v>
          </cell>
          <cell r="D135" t="str">
            <v>04</v>
          </cell>
          <cell r="E135">
            <v>19.25</v>
          </cell>
          <cell r="F135">
            <v>15.75</v>
          </cell>
          <cell r="G135">
            <v>11.25</v>
          </cell>
          <cell r="H135">
            <v>9</v>
          </cell>
          <cell r="I135">
            <v>13</v>
          </cell>
          <cell r="J135">
            <v>7</v>
          </cell>
        </row>
        <row r="136">
          <cell r="A136" t="str">
            <v xml:space="preserve">терапевты, всего </v>
          </cell>
          <cell r="B136">
            <v>0</v>
          </cell>
          <cell r="C136">
            <v>0</v>
          </cell>
          <cell r="D136" t="str">
            <v>05</v>
          </cell>
          <cell r="E136">
            <v>200.5</v>
          </cell>
          <cell r="F136">
            <v>136.75</v>
          </cell>
          <cell r="G136">
            <v>104.25</v>
          </cell>
          <cell r="H136">
            <v>83</v>
          </cell>
          <cell r="I136">
            <v>82</v>
          </cell>
          <cell r="J136">
            <v>65</v>
          </cell>
        </row>
        <row r="137">
          <cell r="A137" t="str">
            <v xml:space="preserve">                 из них:  участковые терапевты </v>
          </cell>
          <cell r="B137">
            <v>0</v>
          </cell>
          <cell r="C137">
            <v>0</v>
          </cell>
          <cell r="D137" t="str">
            <v>5.1</v>
          </cell>
          <cell r="E137">
            <v>27.25</v>
          </cell>
          <cell r="F137">
            <v>20</v>
          </cell>
          <cell r="G137">
            <v>27.25</v>
          </cell>
          <cell r="H137">
            <v>20</v>
          </cell>
          <cell r="I137">
            <v>20</v>
          </cell>
          <cell r="J137">
            <v>20</v>
          </cell>
        </row>
        <row r="138">
          <cell r="A138" t="str">
            <v xml:space="preserve">                               врачи цеховых  участков</v>
          </cell>
          <cell r="B138">
            <v>0</v>
          </cell>
          <cell r="C138">
            <v>0</v>
          </cell>
          <cell r="D138" t="str">
            <v>5.2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 xml:space="preserve">                               терапевты подростковые</v>
          </cell>
          <cell r="B139">
            <v>0</v>
          </cell>
          <cell r="C139">
            <v>0</v>
          </cell>
          <cell r="D139" t="str">
            <v>5.3</v>
          </cell>
          <cell r="E139">
            <v>3.5</v>
          </cell>
          <cell r="F139">
            <v>2.25</v>
          </cell>
          <cell r="G139">
            <v>3.5</v>
          </cell>
          <cell r="H139">
            <v>2.25</v>
          </cell>
          <cell r="I139">
            <v>1</v>
          </cell>
          <cell r="J139">
            <v>1</v>
          </cell>
        </row>
        <row r="140">
          <cell r="A140" t="str">
            <v xml:space="preserve">                               диетологи</v>
          </cell>
          <cell r="B140">
            <v>0</v>
          </cell>
          <cell r="C140">
            <v>0</v>
          </cell>
          <cell r="D140" t="str">
            <v>5.4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A141" t="str">
            <v xml:space="preserve"> пульмонологи взрослые</v>
          </cell>
          <cell r="B141">
            <v>0</v>
          </cell>
          <cell r="C141">
            <v>0</v>
          </cell>
          <cell r="D141" t="str">
            <v>06</v>
          </cell>
          <cell r="E141">
            <v>3.5</v>
          </cell>
          <cell r="F141">
            <v>2.5</v>
          </cell>
          <cell r="G141">
            <v>2</v>
          </cell>
          <cell r="H141">
            <v>1</v>
          </cell>
          <cell r="I141">
            <v>2</v>
          </cell>
          <cell r="J141">
            <v>0</v>
          </cell>
        </row>
        <row r="142">
          <cell r="A142" t="str">
            <v xml:space="preserve"> пульмонологи детские</v>
          </cell>
          <cell r="B142">
            <v>0</v>
          </cell>
          <cell r="C142">
            <v>0</v>
          </cell>
          <cell r="D142" t="str">
            <v>07</v>
          </cell>
          <cell r="E142">
            <v>1.25</v>
          </cell>
          <cell r="F142">
            <v>1.25</v>
          </cell>
          <cell r="G142">
            <v>0</v>
          </cell>
          <cell r="H142">
            <v>0</v>
          </cell>
          <cell r="I142">
            <v>1</v>
          </cell>
          <cell r="J142">
            <v>0</v>
          </cell>
        </row>
        <row r="143">
          <cell r="A143" t="str">
            <v xml:space="preserve"> ревматологи взрослые</v>
          </cell>
          <cell r="B143">
            <v>0</v>
          </cell>
          <cell r="C143">
            <v>0</v>
          </cell>
          <cell r="D143" t="str">
            <v>08</v>
          </cell>
          <cell r="E143">
            <v>8.5</v>
          </cell>
          <cell r="F143">
            <v>7.75</v>
          </cell>
          <cell r="G143">
            <v>6.25</v>
          </cell>
          <cell r="H143">
            <v>5.5</v>
          </cell>
          <cell r="I143">
            <v>4</v>
          </cell>
          <cell r="J143">
            <v>2</v>
          </cell>
        </row>
        <row r="144">
          <cell r="A144" t="str">
            <v xml:space="preserve"> ревматологи детские</v>
          </cell>
          <cell r="B144">
            <v>0</v>
          </cell>
          <cell r="C144">
            <v>0</v>
          </cell>
          <cell r="D144" t="str">
            <v>09</v>
          </cell>
          <cell r="E144">
            <v>1.5</v>
          </cell>
          <cell r="F144">
            <v>1.5</v>
          </cell>
          <cell r="G144">
            <v>0</v>
          </cell>
          <cell r="H144">
            <v>0</v>
          </cell>
          <cell r="I144">
            <v>1</v>
          </cell>
          <cell r="J144">
            <v>0</v>
          </cell>
        </row>
        <row r="145">
          <cell r="A145" t="str">
            <v xml:space="preserve"> кардиологи взрослые</v>
          </cell>
          <cell r="B145">
            <v>0</v>
          </cell>
          <cell r="C145">
            <v>0</v>
          </cell>
          <cell r="D145" t="str">
            <v>10</v>
          </cell>
          <cell r="E145">
            <v>49.5</v>
          </cell>
          <cell r="F145">
            <v>41.75</v>
          </cell>
          <cell r="G145">
            <v>19.25</v>
          </cell>
          <cell r="H145">
            <v>15</v>
          </cell>
          <cell r="I145">
            <v>21</v>
          </cell>
          <cell r="J145">
            <v>9</v>
          </cell>
        </row>
        <row r="146">
          <cell r="A146" t="str">
            <v xml:space="preserve">                 из них: интервенционные</v>
          </cell>
          <cell r="B146">
            <v>0</v>
          </cell>
          <cell r="C146">
            <v>0</v>
          </cell>
          <cell r="D146" t="str">
            <v>10.1</v>
          </cell>
          <cell r="E146">
            <v>6.5</v>
          </cell>
          <cell r="F146">
            <v>6.5</v>
          </cell>
          <cell r="G146">
            <v>0</v>
          </cell>
          <cell r="H146">
            <v>0</v>
          </cell>
          <cell r="I146">
            <v>1</v>
          </cell>
          <cell r="J146">
            <v>0</v>
          </cell>
        </row>
        <row r="147">
          <cell r="A147" t="str">
            <v xml:space="preserve"> кардиологи детские</v>
          </cell>
          <cell r="B147">
            <v>0</v>
          </cell>
          <cell r="C147">
            <v>0</v>
          </cell>
          <cell r="D147">
            <v>11</v>
          </cell>
          <cell r="E147">
            <v>4.5</v>
          </cell>
          <cell r="F147">
            <v>4.5</v>
          </cell>
          <cell r="G147">
            <v>2.5</v>
          </cell>
          <cell r="H147">
            <v>2.5</v>
          </cell>
          <cell r="I147">
            <v>3</v>
          </cell>
          <cell r="J147">
            <v>2</v>
          </cell>
        </row>
        <row r="148">
          <cell r="A148" t="str">
            <v xml:space="preserve"> гастроэнтерологи взрослые</v>
          </cell>
          <cell r="B148">
            <v>0</v>
          </cell>
          <cell r="C148">
            <v>0</v>
          </cell>
          <cell r="D148">
            <v>12</v>
          </cell>
          <cell r="E148">
            <v>8.25</v>
          </cell>
          <cell r="F148">
            <v>7.5</v>
          </cell>
          <cell r="G148">
            <v>6.25</v>
          </cell>
          <cell r="H148">
            <v>5.25</v>
          </cell>
          <cell r="I148">
            <v>6</v>
          </cell>
          <cell r="J148">
            <v>4</v>
          </cell>
        </row>
        <row r="149">
          <cell r="A149" t="str">
            <v xml:space="preserve"> гастроэнтерологи детские</v>
          </cell>
          <cell r="B149">
            <v>0</v>
          </cell>
          <cell r="C149">
            <v>0</v>
          </cell>
          <cell r="D149">
            <v>13</v>
          </cell>
          <cell r="E149">
            <v>0.75</v>
          </cell>
          <cell r="F149">
            <v>0.75</v>
          </cell>
          <cell r="G149">
            <v>0.5</v>
          </cell>
          <cell r="H149">
            <v>0.5</v>
          </cell>
          <cell r="I149">
            <v>0</v>
          </cell>
          <cell r="J149">
            <v>0</v>
          </cell>
        </row>
        <row r="150">
          <cell r="A150" t="str">
            <v xml:space="preserve"> нефрологи взрослые</v>
          </cell>
          <cell r="B150">
            <v>0</v>
          </cell>
          <cell r="C150">
            <v>0</v>
          </cell>
          <cell r="D150">
            <v>14</v>
          </cell>
          <cell r="E150">
            <v>8.5</v>
          </cell>
          <cell r="F150">
            <v>5</v>
          </cell>
          <cell r="G150">
            <v>4</v>
          </cell>
          <cell r="H150">
            <v>2.5</v>
          </cell>
          <cell r="I150">
            <v>3</v>
          </cell>
          <cell r="J150">
            <v>1</v>
          </cell>
        </row>
        <row r="151">
          <cell r="A151" t="str">
            <v xml:space="preserve"> нефрологи детские</v>
          </cell>
          <cell r="B151">
            <v>0</v>
          </cell>
          <cell r="C151">
            <v>0</v>
          </cell>
          <cell r="D151">
            <v>15</v>
          </cell>
          <cell r="E151">
            <v>1.75</v>
          </cell>
          <cell r="F151">
            <v>1</v>
          </cell>
          <cell r="G151">
            <v>1</v>
          </cell>
          <cell r="H151">
            <v>1</v>
          </cell>
          <cell r="I151">
            <v>0</v>
          </cell>
          <cell r="J151">
            <v>0</v>
          </cell>
        </row>
        <row r="152">
          <cell r="A152" t="str">
            <v xml:space="preserve"> эндокринологи взрослые </v>
          </cell>
          <cell r="B152">
            <v>0</v>
          </cell>
          <cell r="C152">
            <v>0</v>
          </cell>
          <cell r="D152">
            <v>16</v>
          </cell>
          <cell r="E152">
            <v>14.5</v>
          </cell>
          <cell r="F152">
            <v>11.5</v>
          </cell>
          <cell r="G152">
            <v>10.75</v>
          </cell>
          <cell r="H152">
            <v>8.25</v>
          </cell>
          <cell r="I152">
            <v>6</v>
          </cell>
          <cell r="J152">
            <v>4</v>
          </cell>
        </row>
        <row r="153">
          <cell r="A153" t="str">
            <v xml:space="preserve"> эндокринологи детские</v>
          </cell>
          <cell r="B153">
            <v>0</v>
          </cell>
          <cell r="C153">
            <v>0</v>
          </cell>
          <cell r="D153">
            <v>17</v>
          </cell>
          <cell r="E153">
            <v>1.75</v>
          </cell>
          <cell r="F153">
            <v>1.75</v>
          </cell>
          <cell r="G153">
            <v>1</v>
          </cell>
          <cell r="H153">
            <v>1</v>
          </cell>
          <cell r="I153">
            <v>0</v>
          </cell>
          <cell r="J153">
            <v>0</v>
          </cell>
        </row>
        <row r="154">
          <cell r="A154" t="str">
            <v xml:space="preserve"> аллергологи взрослые</v>
          </cell>
          <cell r="B154">
            <v>0</v>
          </cell>
          <cell r="C154">
            <v>0</v>
          </cell>
          <cell r="D154">
            <v>18</v>
          </cell>
          <cell r="E154">
            <v>2.5</v>
          </cell>
          <cell r="F154">
            <v>1.5</v>
          </cell>
          <cell r="G154">
            <v>2</v>
          </cell>
          <cell r="H154">
            <v>1</v>
          </cell>
          <cell r="I154">
            <v>0</v>
          </cell>
          <cell r="J154">
            <v>0</v>
          </cell>
        </row>
        <row r="155">
          <cell r="A155" t="str">
            <v xml:space="preserve"> аллергологи детские</v>
          </cell>
          <cell r="B155">
            <v>0</v>
          </cell>
          <cell r="C155">
            <v>0</v>
          </cell>
          <cell r="D155">
            <v>19</v>
          </cell>
          <cell r="E155">
            <v>0.25</v>
          </cell>
          <cell r="F155">
            <v>0.25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A156" t="str">
            <v xml:space="preserve"> гематологи взрослые</v>
          </cell>
          <cell r="B156">
            <v>0</v>
          </cell>
          <cell r="C156">
            <v>0</v>
          </cell>
          <cell r="D156">
            <v>20</v>
          </cell>
          <cell r="E156">
            <v>4.75</v>
          </cell>
          <cell r="F156">
            <v>1.25</v>
          </cell>
          <cell r="G156">
            <v>1.75</v>
          </cell>
          <cell r="H156">
            <v>0.25</v>
          </cell>
          <cell r="I156">
            <v>1</v>
          </cell>
          <cell r="J156">
            <v>0</v>
          </cell>
        </row>
        <row r="157">
          <cell r="A157" t="str">
            <v xml:space="preserve"> гематологи детские</v>
          </cell>
          <cell r="B157">
            <v>0</v>
          </cell>
          <cell r="C157">
            <v>0</v>
          </cell>
          <cell r="D157">
            <v>21</v>
          </cell>
          <cell r="E157">
            <v>1.5</v>
          </cell>
          <cell r="F157">
            <v>1.5</v>
          </cell>
          <cell r="G157">
            <v>1</v>
          </cell>
          <cell r="H157">
            <v>1</v>
          </cell>
          <cell r="I157">
            <v>0</v>
          </cell>
          <cell r="J157">
            <v>0</v>
          </cell>
        </row>
        <row r="158">
          <cell r="A158" t="str">
            <v xml:space="preserve"> инфекционисты взрослые</v>
          </cell>
          <cell r="B158">
            <v>0</v>
          </cell>
          <cell r="C158">
            <v>0</v>
          </cell>
          <cell r="D158">
            <v>22</v>
          </cell>
          <cell r="E158">
            <v>36</v>
          </cell>
          <cell r="F158">
            <v>31.25</v>
          </cell>
          <cell r="G158">
            <v>9.5</v>
          </cell>
          <cell r="H158">
            <v>7.75</v>
          </cell>
          <cell r="I158">
            <v>16</v>
          </cell>
          <cell r="J158">
            <v>4</v>
          </cell>
        </row>
        <row r="159">
          <cell r="A159" t="str">
            <v>из них : лепрологи</v>
          </cell>
          <cell r="B159">
            <v>0</v>
          </cell>
          <cell r="C159">
            <v>0</v>
          </cell>
          <cell r="D159" t="str">
            <v>22.1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A160" t="str">
            <v xml:space="preserve"> инфекционисты детские</v>
          </cell>
          <cell r="B160">
            <v>0</v>
          </cell>
          <cell r="C160">
            <v>0</v>
          </cell>
          <cell r="D160">
            <v>23</v>
          </cell>
          <cell r="E160">
            <v>9.25</v>
          </cell>
          <cell r="F160">
            <v>7.25</v>
          </cell>
          <cell r="G160">
            <v>0.5</v>
          </cell>
          <cell r="H160">
            <v>0.5</v>
          </cell>
          <cell r="I160">
            <v>7</v>
          </cell>
          <cell r="J160">
            <v>1</v>
          </cell>
        </row>
        <row r="161">
          <cell r="A161" t="str">
            <v>Врачи реабилитологи, восстановительного лечения</v>
          </cell>
          <cell r="B161">
            <v>0</v>
          </cell>
          <cell r="C161">
            <v>0</v>
          </cell>
          <cell r="D161">
            <v>24</v>
          </cell>
          <cell r="E161">
            <v>26.75</v>
          </cell>
          <cell r="F161">
            <v>20</v>
          </cell>
          <cell r="G161">
            <v>15.5</v>
          </cell>
          <cell r="H161">
            <v>11.5</v>
          </cell>
          <cell r="I161">
            <v>12</v>
          </cell>
          <cell r="J161">
            <v>7</v>
          </cell>
        </row>
        <row r="162">
          <cell r="A162" t="str">
            <v xml:space="preserve">          из них: </v>
          </cell>
          <cell r="B162">
            <v>0</v>
          </cell>
          <cell r="C162">
            <v>0</v>
          </cell>
          <cell r="D162" t="str">
            <v>24.1</v>
          </cell>
          <cell r="E162">
            <v>10.75</v>
          </cell>
          <cell r="F162">
            <v>7.75</v>
          </cell>
          <cell r="G162">
            <v>8</v>
          </cell>
          <cell r="H162">
            <v>5.25</v>
          </cell>
          <cell r="I162">
            <v>5</v>
          </cell>
          <cell r="J162">
            <v>3</v>
          </cell>
        </row>
        <row r="163">
          <cell r="A163" t="str">
            <v xml:space="preserve">                       физиотерапевты взрослые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 xml:space="preserve">                       физиотерапевты детские</v>
          </cell>
          <cell r="B164">
            <v>0</v>
          </cell>
          <cell r="C164">
            <v>0</v>
          </cell>
          <cell r="D164" t="str">
            <v>24.2</v>
          </cell>
          <cell r="E164">
            <v>4</v>
          </cell>
          <cell r="F164">
            <v>2.5</v>
          </cell>
          <cell r="G164">
            <v>1</v>
          </cell>
          <cell r="H164">
            <v>1</v>
          </cell>
          <cell r="I164">
            <v>2</v>
          </cell>
          <cell r="J164">
            <v>1</v>
          </cell>
        </row>
        <row r="165">
          <cell r="A165" t="str">
            <v xml:space="preserve">                       врачи по лечебной физкультуре</v>
          </cell>
          <cell r="B165">
            <v>0</v>
          </cell>
          <cell r="C165">
            <v>0</v>
          </cell>
          <cell r="D165" t="str">
            <v>24.3</v>
          </cell>
          <cell r="E165">
            <v>3.75</v>
          </cell>
          <cell r="F165">
            <v>2</v>
          </cell>
          <cell r="G165">
            <v>1.75</v>
          </cell>
          <cell r="H165">
            <v>1</v>
          </cell>
          <cell r="I165">
            <v>0</v>
          </cell>
          <cell r="J165">
            <v>0</v>
          </cell>
        </row>
        <row r="166">
          <cell r="A166" t="str">
            <v>Спортивная медицина</v>
          </cell>
          <cell r="B166">
            <v>0</v>
          </cell>
          <cell r="C166">
            <v>0</v>
          </cell>
          <cell r="D166">
            <v>25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A167" t="str">
            <v xml:space="preserve">Профпатологи                                                                                                                                                                                                     </v>
          </cell>
          <cell r="B167">
            <v>0</v>
          </cell>
          <cell r="C167">
            <v>0</v>
          </cell>
          <cell r="D167">
            <v>26</v>
          </cell>
          <cell r="E167">
            <v>8</v>
          </cell>
          <cell r="F167">
            <v>7</v>
          </cell>
          <cell r="G167">
            <v>7.5</v>
          </cell>
          <cell r="H167">
            <v>6.5</v>
          </cell>
          <cell r="I167">
            <v>3</v>
          </cell>
          <cell r="J167">
            <v>3</v>
          </cell>
        </row>
        <row r="168">
          <cell r="A168" t="str">
            <v xml:space="preserve">Врачи функциональной диагностики </v>
          </cell>
          <cell r="B168">
            <v>0</v>
          </cell>
          <cell r="C168">
            <v>0</v>
          </cell>
          <cell r="D168">
            <v>27</v>
          </cell>
          <cell r="E168">
            <v>20</v>
          </cell>
          <cell r="F168">
            <v>16.25</v>
          </cell>
          <cell r="G168">
            <v>10.5</v>
          </cell>
          <cell r="H168">
            <v>9.75</v>
          </cell>
          <cell r="I168">
            <v>8</v>
          </cell>
          <cell r="J168">
            <v>4</v>
          </cell>
        </row>
        <row r="169">
          <cell r="A169" t="str">
            <v>Токсикологи взрослые</v>
          </cell>
          <cell r="B169">
            <v>0</v>
          </cell>
          <cell r="C169">
            <v>0</v>
          </cell>
          <cell r="D169">
            <v>28</v>
          </cell>
          <cell r="E169">
            <v>0.5</v>
          </cell>
          <cell r="F169">
            <v>0.5</v>
          </cell>
          <cell r="G169">
            <v>0</v>
          </cell>
          <cell r="H169">
            <v>0</v>
          </cell>
          <cell r="I169">
            <v>1</v>
          </cell>
          <cell r="J169">
            <v>0</v>
          </cell>
        </row>
        <row r="170">
          <cell r="A170" t="str">
            <v>Токсикологи детские</v>
          </cell>
          <cell r="B170">
            <v>0</v>
          </cell>
          <cell r="C170">
            <v>0</v>
          </cell>
          <cell r="D170">
            <v>29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A171" t="str">
            <v>Хирурги, всего</v>
          </cell>
          <cell r="B171">
            <v>0</v>
          </cell>
          <cell r="C171">
            <v>0</v>
          </cell>
          <cell r="D171">
            <v>30</v>
          </cell>
          <cell r="E171">
            <v>75</v>
          </cell>
          <cell r="F171">
            <v>70.5</v>
          </cell>
          <cell r="G171">
            <v>27.75</v>
          </cell>
          <cell r="H171">
            <v>25.75</v>
          </cell>
          <cell r="I171">
            <v>41</v>
          </cell>
          <cell r="J171">
            <v>17</v>
          </cell>
        </row>
        <row r="172">
          <cell r="A172" t="str">
            <v xml:space="preserve">          из них: хирурги взрослые</v>
          </cell>
          <cell r="B172">
            <v>0</v>
          </cell>
          <cell r="C172">
            <v>0</v>
          </cell>
          <cell r="D172" t="str">
            <v>30.1</v>
          </cell>
          <cell r="E172">
            <v>55</v>
          </cell>
          <cell r="F172">
            <v>51</v>
          </cell>
          <cell r="G172">
            <v>15.75</v>
          </cell>
          <cell r="H172">
            <v>13.75</v>
          </cell>
          <cell r="I172">
            <v>30</v>
          </cell>
          <cell r="J172">
            <v>10</v>
          </cell>
        </row>
        <row r="173">
          <cell r="A173" t="str">
            <v xml:space="preserve">                       торакальные хирурги </v>
          </cell>
          <cell r="B173">
            <v>0</v>
          </cell>
          <cell r="C173">
            <v>0</v>
          </cell>
          <cell r="D173" t="str">
            <v>30.2</v>
          </cell>
          <cell r="E173">
            <v>1.5</v>
          </cell>
          <cell r="F173">
            <v>1.5</v>
          </cell>
          <cell r="G173">
            <v>1</v>
          </cell>
          <cell r="H173">
            <v>1</v>
          </cell>
          <cell r="I173">
            <v>1</v>
          </cell>
          <cell r="J173">
            <v>0</v>
          </cell>
        </row>
        <row r="174">
          <cell r="A174" t="str">
            <v xml:space="preserve">                       колопроктологи</v>
          </cell>
          <cell r="B174">
            <v>0</v>
          </cell>
          <cell r="C174">
            <v>0</v>
          </cell>
          <cell r="D174" t="str">
            <v>30.3</v>
          </cell>
          <cell r="E174">
            <v>2</v>
          </cell>
          <cell r="F174">
            <v>1.5</v>
          </cell>
          <cell r="G174">
            <v>0.5</v>
          </cell>
          <cell r="H174">
            <v>0.5</v>
          </cell>
          <cell r="I174">
            <v>1</v>
          </cell>
          <cell r="J174">
            <v>0</v>
          </cell>
        </row>
        <row r="175">
          <cell r="A175" t="str">
            <v xml:space="preserve">                      трансплантологи</v>
          </cell>
          <cell r="B175">
            <v>0</v>
          </cell>
          <cell r="C175">
            <v>0</v>
          </cell>
          <cell r="D175" t="str">
            <v>30.4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A176" t="str">
            <v>Хирурги детские</v>
          </cell>
          <cell r="B176">
            <v>0</v>
          </cell>
          <cell r="C176">
            <v>0</v>
          </cell>
          <cell r="D176">
            <v>31</v>
          </cell>
          <cell r="E176">
            <v>18.5</v>
          </cell>
          <cell r="F176">
            <v>16.5</v>
          </cell>
          <cell r="G176">
            <v>4</v>
          </cell>
          <cell r="H176">
            <v>3.25</v>
          </cell>
          <cell r="I176">
            <v>10</v>
          </cell>
          <cell r="J176">
            <v>2</v>
          </cell>
        </row>
        <row r="177">
          <cell r="A177" t="str">
            <v>Кардиохирурги взрослые</v>
          </cell>
          <cell r="B177">
            <v>0</v>
          </cell>
          <cell r="C177">
            <v>0</v>
          </cell>
          <cell r="D177">
            <v>32</v>
          </cell>
          <cell r="E177">
            <v>6.75</v>
          </cell>
          <cell r="F177">
            <v>5.75</v>
          </cell>
          <cell r="G177">
            <v>0.75</v>
          </cell>
          <cell r="H177">
            <v>0.5</v>
          </cell>
          <cell r="I177">
            <v>3</v>
          </cell>
          <cell r="J177">
            <v>0</v>
          </cell>
        </row>
        <row r="178">
          <cell r="A178" t="str">
            <v>Кардиохирурги детские</v>
          </cell>
          <cell r="B178">
            <v>0</v>
          </cell>
          <cell r="C178">
            <v>0</v>
          </cell>
          <cell r="D178">
            <v>33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A179" t="str">
            <v>Ангиохирурги взрослые</v>
          </cell>
          <cell r="B179">
            <v>0</v>
          </cell>
          <cell r="C179">
            <v>0</v>
          </cell>
          <cell r="D179">
            <v>34</v>
          </cell>
          <cell r="E179">
            <v>1</v>
          </cell>
          <cell r="F179">
            <v>1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A180" t="str">
            <v>Ангиохирурги детские</v>
          </cell>
          <cell r="B180">
            <v>0</v>
          </cell>
          <cell r="C180">
            <v>0</v>
          </cell>
          <cell r="D180">
            <v>35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Травматологи-ортопеды взрослые</v>
          </cell>
          <cell r="B181">
            <v>0</v>
          </cell>
          <cell r="C181">
            <v>0</v>
          </cell>
          <cell r="D181">
            <v>36</v>
          </cell>
          <cell r="E181">
            <v>41.5</v>
          </cell>
          <cell r="F181">
            <v>35.25</v>
          </cell>
          <cell r="G181">
            <v>11</v>
          </cell>
          <cell r="H181">
            <v>9.5</v>
          </cell>
          <cell r="I181">
            <v>23</v>
          </cell>
          <cell r="J181">
            <v>8</v>
          </cell>
        </row>
        <row r="182">
          <cell r="A182" t="str">
            <v xml:space="preserve">                      из них : камбустиологи взрослые</v>
          </cell>
          <cell r="B182">
            <v>0</v>
          </cell>
          <cell r="C182">
            <v>0</v>
          </cell>
          <cell r="D182" t="str">
            <v>36.1</v>
          </cell>
          <cell r="E182">
            <v>6.25</v>
          </cell>
          <cell r="F182">
            <v>4</v>
          </cell>
          <cell r="G182">
            <v>0</v>
          </cell>
          <cell r="H182">
            <v>0</v>
          </cell>
          <cell r="I182">
            <v>3</v>
          </cell>
          <cell r="J182">
            <v>0</v>
          </cell>
        </row>
        <row r="183">
          <cell r="A183" t="str">
            <v>Травматологи-ортопеды детские</v>
          </cell>
          <cell r="B183">
            <v>0</v>
          </cell>
          <cell r="C183">
            <v>0</v>
          </cell>
          <cell r="D183">
            <v>37</v>
          </cell>
          <cell r="E183">
            <v>11.25</v>
          </cell>
          <cell r="F183">
            <v>6.5</v>
          </cell>
          <cell r="G183">
            <v>2</v>
          </cell>
          <cell r="H183">
            <v>1.25</v>
          </cell>
          <cell r="I183">
            <v>3</v>
          </cell>
          <cell r="J183">
            <v>0</v>
          </cell>
        </row>
        <row r="184">
          <cell r="A184" t="str">
            <v xml:space="preserve">                      из них : камбустиологи детские</v>
          </cell>
          <cell r="B184">
            <v>0</v>
          </cell>
          <cell r="C184">
            <v>0</v>
          </cell>
          <cell r="D184" t="str">
            <v>37.1</v>
          </cell>
          <cell r="E184">
            <v>0.5</v>
          </cell>
          <cell r="F184">
            <v>0.5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 xml:space="preserve">Урологи взрослые </v>
          </cell>
          <cell r="B185">
            <v>0</v>
          </cell>
          <cell r="C185">
            <v>0</v>
          </cell>
          <cell r="D185">
            <v>38</v>
          </cell>
          <cell r="E185">
            <v>18.75</v>
          </cell>
          <cell r="F185">
            <v>18</v>
          </cell>
          <cell r="G185">
            <v>9.25</v>
          </cell>
          <cell r="H185">
            <v>8.5</v>
          </cell>
          <cell r="I185">
            <v>9</v>
          </cell>
          <cell r="J185">
            <v>5</v>
          </cell>
        </row>
        <row r="186">
          <cell r="A186" t="str">
            <v xml:space="preserve">                      из них : андрологи</v>
          </cell>
          <cell r="B186">
            <v>0</v>
          </cell>
          <cell r="C186">
            <v>0</v>
          </cell>
          <cell r="D186" t="str">
            <v>38.1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Урологи детские</v>
          </cell>
          <cell r="B187">
            <v>0</v>
          </cell>
          <cell r="C187">
            <v>0</v>
          </cell>
          <cell r="D187">
            <v>39</v>
          </cell>
          <cell r="E187">
            <v>0.75</v>
          </cell>
          <cell r="F187">
            <v>0.75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Нейрохирурги взрослые</v>
          </cell>
          <cell r="B188">
            <v>0</v>
          </cell>
          <cell r="C188">
            <v>0</v>
          </cell>
          <cell r="D188">
            <v>40</v>
          </cell>
          <cell r="E188">
            <v>12.25</v>
          </cell>
          <cell r="F188">
            <v>12.25</v>
          </cell>
          <cell r="G188">
            <v>1</v>
          </cell>
          <cell r="H188">
            <v>1</v>
          </cell>
          <cell r="I188">
            <v>6</v>
          </cell>
          <cell r="J188">
            <v>0</v>
          </cell>
        </row>
        <row r="189">
          <cell r="A189" t="str">
            <v>Нейрохирурги детские</v>
          </cell>
          <cell r="B189">
            <v>0</v>
          </cell>
          <cell r="C189">
            <v>0</v>
          </cell>
          <cell r="D189">
            <v>41</v>
          </cell>
          <cell r="E189">
            <v>2.75</v>
          </cell>
          <cell r="F189">
            <v>1.75</v>
          </cell>
          <cell r="G189">
            <v>0</v>
          </cell>
          <cell r="H189">
            <v>0</v>
          </cell>
          <cell r="I189">
            <v>1</v>
          </cell>
          <cell r="J189">
            <v>0</v>
          </cell>
        </row>
        <row r="190">
          <cell r="A190" t="str">
            <v>Анестезиологи-реаниматологи взрослые</v>
          </cell>
          <cell r="B190">
            <v>0</v>
          </cell>
          <cell r="C190">
            <v>0</v>
          </cell>
          <cell r="D190">
            <v>42</v>
          </cell>
          <cell r="E190">
            <v>135</v>
          </cell>
          <cell r="F190">
            <v>87.25</v>
          </cell>
          <cell r="G190">
            <v>0</v>
          </cell>
          <cell r="H190">
            <v>0</v>
          </cell>
          <cell r="I190">
            <v>44</v>
          </cell>
          <cell r="J190">
            <v>0</v>
          </cell>
        </row>
        <row r="191">
          <cell r="A191" t="str">
            <v>Анестезиологи-реаниматологи детские</v>
          </cell>
          <cell r="B191">
            <v>0</v>
          </cell>
          <cell r="C191">
            <v>0</v>
          </cell>
          <cell r="D191">
            <v>43</v>
          </cell>
          <cell r="E191">
            <v>24.5</v>
          </cell>
          <cell r="F191">
            <v>15.5</v>
          </cell>
          <cell r="G191">
            <v>0</v>
          </cell>
          <cell r="H191">
            <v>0</v>
          </cell>
          <cell r="I191">
            <v>10</v>
          </cell>
          <cell r="J191">
            <v>0</v>
          </cell>
        </row>
        <row r="192">
          <cell r="A192" t="str">
            <v>Пластические хирурги</v>
          </cell>
          <cell r="B192">
            <v>0</v>
          </cell>
          <cell r="C192">
            <v>0</v>
          </cell>
          <cell r="D192">
            <v>44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A193" t="str">
            <v>Эндоскописты взрослые</v>
          </cell>
          <cell r="B193">
            <v>0</v>
          </cell>
          <cell r="C193">
            <v>0</v>
          </cell>
          <cell r="D193">
            <v>45</v>
          </cell>
          <cell r="E193">
            <v>11.25</v>
          </cell>
          <cell r="F193">
            <v>8</v>
          </cell>
          <cell r="G193">
            <v>6.75</v>
          </cell>
          <cell r="H193">
            <v>4</v>
          </cell>
          <cell r="I193">
            <v>4</v>
          </cell>
          <cell r="J193">
            <v>2</v>
          </cell>
        </row>
        <row r="194">
          <cell r="A194" t="str">
            <v>Эндоскописты детские</v>
          </cell>
          <cell r="B194">
            <v>0</v>
          </cell>
          <cell r="C194">
            <v>0</v>
          </cell>
          <cell r="D194">
            <v>46</v>
          </cell>
          <cell r="E194">
            <v>2</v>
          </cell>
          <cell r="F194">
            <v>1.5</v>
          </cell>
          <cell r="G194">
            <v>0</v>
          </cell>
          <cell r="H194">
            <v>0</v>
          </cell>
          <cell r="I194">
            <v>1</v>
          </cell>
          <cell r="J194">
            <v>0</v>
          </cell>
        </row>
        <row r="195">
          <cell r="A195" t="str">
            <v>Онкологи взрослые</v>
          </cell>
          <cell r="B195">
            <v>0</v>
          </cell>
          <cell r="C195">
            <v>0</v>
          </cell>
          <cell r="D195">
            <v>47</v>
          </cell>
          <cell r="E195">
            <v>52.5</v>
          </cell>
          <cell r="F195">
            <v>41.25</v>
          </cell>
          <cell r="G195">
            <v>32</v>
          </cell>
          <cell r="H195">
            <v>25</v>
          </cell>
          <cell r="I195">
            <v>30</v>
          </cell>
          <cell r="J195">
            <v>15</v>
          </cell>
        </row>
        <row r="196">
          <cell r="A196" t="str">
            <v xml:space="preserve">                      из них : маммологи</v>
          </cell>
          <cell r="B196">
            <v>0</v>
          </cell>
          <cell r="C196">
            <v>0</v>
          </cell>
          <cell r="D196" t="str">
            <v>47.1</v>
          </cell>
          <cell r="E196">
            <v>9.75</v>
          </cell>
          <cell r="F196">
            <v>7.75</v>
          </cell>
          <cell r="G196">
            <v>7.75</v>
          </cell>
          <cell r="H196">
            <v>7.25</v>
          </cell>
          <cell r="I196">
            <v>3</v>
          </cell>
          <cell r="J196">
            <v>2</v>
          </cell>
        </row>
        <row r="197">
          <cell r="A197" t="str">
            <v>Онкологи детские</v>
          </cell>
          <cell r="B197">
            <v>0</v>
          </cell>
          <cell r="C197">
            <v>0</v>
          </cell>
          <cell r="D197">
            <v>48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Радиологи (лучевая терапия)</v>
          </cell>
          <cell r="B198">
            <v>0</v>
          </cell>
          <cell r="C198">
            <v>0</v>
          </cell>
          <cell r="D198">
            <v>49</v>
          </cell>
          <cell r="E198">
            <v>3.5</v>
          </cell>
          <cell r="F198">
            <v>3</v>
          </cell>
          <cell r="G198">
            <v>0</v>
          </cell>
          <cell r="H198">
            <v>0</v>
          </cell>
          <cell r="I198">
            <v>2</v>
          </cell>
          <cell r="J198">
            <v>0</v>
          </cell>
        </row>
        <row r="199">
          <cell r="A199" t="str">
            <v>Стоматологи взрослые</v>
          </cell>
          <cell r="B199">
            <v>0</v>
          </cell>
          <cell r="C199">
            <v>0</v>
          </cell>
          <cell r="D199">
            <v>50</v>
          </cell>
          <cell r="E199">
            <v>39</v>
          </cell>
          <cell r="F199">
            <v>35</v>
          </cell>
          <cell r="G199">
            <v>38.75</v>
          </cell>
          <cell r="H199">
            <v>34.75</v>
          </cell>
          <cell r="I199">
            <v>31</v>
          </cell>
          <cell r="J199">
            <v>31</v>
          </cell>
        </row>
        <row r="200">
          <cell r="A200" t="str">
            <v>Стоматологи детские</v>
          </cell>
          <cell r="B200">
            <v>0</v>
          </cell>
          <cell r="C200">
            <v>0</v>
          </cell>
          <cell r="D200">
            <v>51</v>
          </cell>
          <cell r="E200">
            <v>3</v>
          </cell>
          <cell r="F200">
            <v>2</v>
          </cell>
          <cell r="G200">
            <v>3</v>
          </cell>
          <cell r="H200">
            <v>2</v>
          </cell>
          <cell r="I200">
            <v>2</v>
          </cell>
          <cell r="J200">
            <v>2</v>
          </cell>
        </row>
        <row r="201">
          <cell r="A201" t="str">
            <v>Челюстно-лицевые хирурги взрослые</v>
          </cell>
          <cell r="B201">
            <v>0</v>
          </cell>
          <cell r="C201">
            <v>0</v>
          </cell>
          <cell r="D201">
            <v>52</v>
          </cell>
          <cell r="E201">
            <v>1.75</v>
          </cell>
          <cell r="F201">
            <v>1.75</v>
          </cell>
          <cell r="G201">
            <v>0.25</v>
          </cell>
          <cell r="H201">
            <v>0.25</v>
          </cell>
          <cell r="I201">
            <v>1</v>
          </cell>
          <cell r="J201">
            <v>0</v>
          </cell>
        </row>
        <row r="202">
          <cell r="A202" t="str">
            <v>Челюстно-лицевые хирурги детские</v>
          </cell>
          <cell r="B202">
            <v>0</v>
          </cell>
          <cell r="C202">
            <v>0</v>
          </cell>
          <cell r="D202">
            <v>53</v>
          </cell>
          <cell r="E202">
            <v>1.5</v>
          </cell>
          <cell r="F202">
            <v>1.5</v>
          </cell>
          <cell r="G202">
            <v>0</v>
          </cell>
          <cell r="H202">
            <v>0</v>
          </cell>
          <cell r="I202">
            <v>2</v>
          </cell>
          <cell r="J202">
            <v>0</v>
          </cell>
        </row>
        <row r="203">
          <cell r="A203" t="str">
            <v>Трансфузиологи</v>
          </cell>
          <cell r="B203">
            <v>0</v>
          </cell>
          <cell r="C203">
            <v>0</v>
          </cell>
          <cell r="D203">
            <v>54</v>
          </cell>
          <cell r="E203">
            <v>7</v>
          </cell>
          <cell r="F203">
            <v>4.5</v>
          </cell>
          <cell r="G203">
            <v>0.25</v>
          </cell>
          <cell r="H203">
            <v>0</v>
          </cell>
          <cell r="I203">
            <v>1</v>
          </cell>
          <cell r="J203">
            <v>0</v>
          </cell>
        </row>
        <row r="204">
          <cell r="A204" t="str">
            <v>Перфузиологи</v>
          </cell>
          <cell r="B204">
            <v>0</v>
          </cell>
          <cell r="C204">
            <v>0</v>
          </cell>
          <cell r="D204">
            <v>55</v>
          </cell>
          <cell r="E204">
            <v>1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A205" t="str">
            <v>Акушеры-гинекологи</v>
          </cell>
          <cell r="B205">
            <v>0</v>
          </cell>
          <cell r="C205">
            <v>0</v>
          </cell>
          <cell r="D205">
            <v>56</v>
          </cell>
          <cell r="E205">
            <v>175.25</v>
          </cell>
          <cell r="F205">
            <v>154.5</v>
          </cell>
          <cell r="G205">
            <v>72.75</v>
          </cell>
          <cell r="H205">
            <v>63.75</v>
          </cell>
          <cell r="I205">
            <v>112</v>
          </cell>
          <cell r="J205">
            <v>52</v>
          </cell>
        </row>
        <row r="206">
          <cell r="A206" t="str">
            <v xml:space="preserve">                      из них : гинекологи детские</v>
          </cell>
          <cell r="B206">
            <v>0</v>
          </cell>
          <cell r="C206">
            <v>0</v>
          </cell>
          <cell r="D206" t="str">
            <v>56.1</v>
          </cell>
          <cell r="E206">
            <v>1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J206">
            <v>1</v>
          </cell>
        </row>
        <row r="207">
          <cell r="A207" t="str">
            <v xml:space="preserve">Педиатры </v>
          </cell>
          <cell r="B207">
            <v>0</v>
          </cell>
          <cell r="C207">
            <v>0</v>
          </cell>
          <cell r="D207">
            <v>57</v>
          </cell>
          <cell r="E207">
            <v>108.5</v>
          </cell>
          <cell r="F207">
            <v>86</v>
          </cell>
          <cell r="G207">
            <v>72.75</v>
          </cell>
          <cell r="H207">
            <v>64.5</v>
          </cell>
          <cell r="I207">
            <v>64</v>
          </cell>
          <cell r="J207">
            <v>46</v>
          </cell>
        </row>
        <row r="208">
          <cell r="A208" t="str">
            <v xml:space="preserve">                      из них : участковые педиатры </v>
          </cell>
          <cell r="B208">
            <v>0</v>
          </cell>
          <cell r="C208">
            <v>0</v>
          </cell>
          <cell r="D208" t="str">
            <v>57.1</v>
          </cell>
          <cell r="E208">
            <v>50.75</v>
          </cell>
          <cell r="F208">
            <v>45</v>
          </cell>
          <cell r="G208">
            <v>50.75</v>
          </cell>
          <cell r="H208">
            <v>45</v>
          </cell>
          <cell r="I208">
            <v>33</v>
          </cell>
          <cell r="J208">
            <v>33</v>
          </cell>
        </row>
        <row r="209">
          <cell r="A209" t="str">
            <v>Неонатологи</v>
          </cell>
          <cell r="B209">
            <v>0</v>
          </cell>
          <cell r="C209">
            <v>0</v>
          </cell>
          <cell r="D209">
            <v>58</v>
          </cell>
          <cell r="E209">
            <v>47.75</v>
          </cell>
          <cell r="F209">
            <v>38.25</v>
          </cell>
          <cell r="G209">
            <v>0</v>
          </cell>
          <cell r="H209">
            <v>0</v>
          </cell>
          <cell r="I209">
            <v>26</v>
          </cell>
          <cell r="J209">
            <v>0</v>
          </cell>
        </row>
        <row r="210">
          <cell r="A210" t="str">
            <v>Офтальмологи взрослые</v>
          </cell>
          <cell r="B210">
            <v>0</v>
          </cell>
          <cell r="C210">
            <v>0</v>
          </cell>
          <cell r="D210">
            <v>59</v>
          </cell>
          <cell r="E210">
            <v>26.75</v>
          </cell>
          <cell r="F210">
            <v>24.25</v>
          </cell>
          <cell r="G210">
            <v>17.75</v>
          </cell>
          <cell r="H210">
            <v>15.75</v>
          </cell>
          <cell r="I210">
            <v>13</v>
          </cell>
          <cell r="J210">
            <v>9</v>
          </cell>
        </row>
        <row r="211">
          <cell r="A211" t="str">
            <v>Офтальмологи детские</v>
          </cell>
          <cell r="B211">
            <v>0</v>
          </cell>
          <cell r="C211">
            <v>0</v>
          </cell>
          <cell r="D211">
            <v>60</v>
          </cell>
          <cell r="E211">
            <v>6</v>
          </cell>
          <cell r="F211">
            <v>5.75</v>
          </cell>
          <cell r="G211">
            <v>4</v>
          </cell>
          <cell r="H211">
            <v>3.75</v>
          </cell>
          <cell r="I211">
            <v>4</v>
          </cell>
          <cell r="J211">
            <v>3</v>
          </cell>
        </row>
        <row r="212">
          <cell r="A212" t="str">
            <v>Отоларингологи взрослые</v>
          </cell>
          <cell r="B212">
            <v>0</v>
          </cell>
          <cell r="C212">
            <v>0</v>
          </cell>
          <cell r="D212">
            <v>61</v>
          </cell>
          <cell r="E212">
            <v>23.75</v>
          </cell>
          <cell r="F212">
            <v>21</v>
          </cell>
          <cell r="G212">
            <v>15.5</v>
          </cell>
          <cell r="H212">
            <v>14.25</v>
          </cell>
          <cell r="I212">
            <v>13</v>
          </cell>
          <cell r="J212">
            <v>8</v>
          </cell>
        </row>
        <row r="213">
          <cell r="A213" t="str">
            <v>Отоларингологи детские</v>
          </cell>
          <cell r="B213">
            <v>0</v>
          </cell>
          <cell r="C213">
            <v>0</v>
          </cell>
          <cell r="D213">
            <v>62</v>
          </cell>
          <cell r="E213">
            <v>10.5</v>
          </cell>
          <cell r="F213">
            <v>10.25</v>
          </cell>
          <cell r="G213">
            <v>6</v>
          </cell>
          <cell r="H213">
            <v>6</v>
          </cell>
          <cell r="I213">
            <v>9</v>
          </cell>
          <cell r="J213">
            <v>5</v>
          </cell>
        </row>
        <row r="214">
          <cell r="A214" t="str">
            <v xml:space="preserve">                      из них: сурдологи</v>
          </cell>
          <cell r="B214">
            <v>0</v>
          </cell>
          <cell r="C214">
            <v>0</v>
          </cell>
          <cell r="D214" t="str">
            <v>62.1</v>
          </cell>
          <cell r="E214">
            <v>1.5</v>
          </cell>
          <cell r="F214">
            <v>1.25</v>
          </cell>
          <cell r="G214">
            <v>1</v>
          </cell>
          <cell r="H214">
            <v>1</v>
          </cell>
          <cell r="I214">
            <v>1</v>
          </cell>
          <cell r="J214">
            <v>1</v>
          </cell>
        </row>
        <row r="215">
          <cell r="A215" t="str">
            <v>Фтизиатры взрослые</v>
          </cell>
          <cell r="B215">
            <v>0</v>
          </cell>
          <cell r="C215">
            <v>0</v>
          </cell>
          <cell r="D215">
            <v>63</v>
          </cell>
          <cell r="E215">
            <v>45.5</v>
          </cell>
          <cell r="F215">
            <v>39.5</v>
          </cell>
          <cell r="G215">
            <v>21</v>
          </cell>
          <cell r="H215">
            <v>18.5</v>
          </cell>
          <cell r="I215">
            <v>25</v>
          </cell>
          <cell r="J215">
            <v>13</v>
          </cell>
        </row>
        <row r="216">
          <cell r="A216" t="str">
            <v>Фтизиатры детские</v>
          </cell>
          <cell r="B216">
            <v>0</v>
          </cell>
          <cell r="C216">
            <v>0</v>
          </cell>
          <cell r="D216">
            <v>64</v>
          </cell>
          <cell r="E216">
            <v>19</v>
          </cell>
          <cell r="F216">
            <v>15.75</v>
          </cell>
          <cell r="G216">
            <v>16</v>
          </cell>
          <cell r="H216">
            <v>13.25</v>
          </cell>
          <cell r="I216">
            <v>11</v>
          </cell>
          <cell r="J216">
            <v>10</v>
          </cell>
        </row>
        <row r="217">
          <cell r="A217" t="str">
            <v>Невропатологи взрослые</v>
          </cell>
          <cell r="B217">
            <v>0</v>
          </cell>
          <cell r="C217">
            <v>0</v>
          </cell>
          <cell r="D217">
            <v>65</v>
          </cell>
          <cell r="E217">
            <v>41.25</v>
          </cell>
          <cell r="F217">
            <v>36</v>
          </cell>
          <cell r="G217">
            <v>19.5</v>
          </cell>
          <cell r="H217">
            <v>17.25</v>
          </cell>
          <cell r="I217">
            <v>23</v>
          </cell>
          <cell r="J217">
            <v>12</v>
          </cell>
        </row>
        <row r="218">
          <cell r="A218" t="str">
            <v>Невропатологи детские</v>
          </cell>
          <cell r="B218">
            <v>0</v>
          </cell>
          <cell r="C218">
            <v>0</v>
          </cell>
          <cell r="D218">
            <v>66</v>
          </cell>
          <cell r="E218">
            <v>18.5</v>
          </cell>
          <cell r="F218">
            <v>16.5</v>
          </cell>
          <cell r="G218">
            <v>9.5</v>
          </cell>
          <cell r="H218">
            <v>9</v>
          </cell>
          <cell r="I218">
            <v>11</v>
          </cell>
          <cell r="J218">
            <v>7</v>
          </cell>
        </row>
        <row r="219">
          <cell r="A219" t="str">
            <v>Врачи психиатрического профиля, взрослые</v>
          </cell>
          <cell r="B219">
            <v>0</v>
          </cell>
          <cell r="C219">
            <v>0</v>
          </cell>
          <cell r="D219">
            <v>67</v>
          </cell>
          <cell r="E219">
            <v>63</v>
          </cell>
          <cell r="F219">
            <v>46.75</v>
          </cell>
          <cell r="G219">
            <v>22.75</v>
          </cell>
          <cell r="H219">
            <v>19.75</v>
          </cell>
          <cell r="I219">
            <v>29</v>
          </cell>
          <cell r="J219">
            <v>13</v>
          </cell>
        </row>
        <row r="220">
          <cell r="A220" t="str">
            <v xml:space="preserve">         из них : наркологи </v>
          </cell>
          <cell r="B220">
            <v>0</v>
          </cell>
          <cell r="C220">
            <v>0</v>
          </cell>
          <cell r="D220" t="str">
            <v>67.1</v>
          </cell>
          <cell r="E220">
            <v>25.25</v>
          </cell>
          <cell r="F220">
            <v>17</v>
          </cell>
          <cell r="G220">
            <v>6.5</v>
          </cell>
          <cell r="H220">
            <v>6</v>
          </cell>
          <cell r="I220">
            <v>9</v>
          </cell>
          <cell r="J220">
            <v>4</v>
          </cell>
        </row>
        <row r="221">
          <cell r="A221" t="str">
            <v xml:space="preserve">                      психотерапевты</v>
          </cell>
          <cell r="B221">
            <v>0</v>
          </cell>
          <cell r="C221">
            <v>0</v>
          </cell>
          <cell r="D221" t="str">
            <v>67.2</v>
          </cell>
          <cell r="E221">
            <v>3.5</v>
          </cell>
          <cell r="F221">
            <v>1.5</v>
          </cell>
          <cell r="G221">
            <v>1.5</v>
          </cell>
          <cell r="H221">
            <v>1.5</v>
          </cell>
          <cell r="I221">
            <v>0</v>
          </cell>
          <cell r="J221">
            <v>0</v>
          </cell>
        </row>
        <row r="222">
          <cell r="A222" t="str">
            <v xml:space="preserve">                      сексопатологи</v>
          </cell>
          <cell r="B222">
            <v>0</v>
          </cell>
          <cell r="C222">
            <v>0</v>
          </cell>
          <cell r="D222" t="str">
            <v>67.3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A223" t="str">
            <v xml:space="preserve">                      медицинские психологи</v>
          </cell>
          <cell r="B223">
            <v>0</v>
          </cell>
          <cell r="C223">
            <v>0</v>
          </cell>
          <cell r="D223" t="str">
            <v>67.4</v>
          </cell>
          <cell r="E223">
            <v>1</v>
          </cell>
          <cell r="F223">
            <v>0.25</v>
          </cell>
          <cell r="G223">
            <v>1</v>
          </cell>
          <cell r="H223">
            <v>0.25</v>
          </cell>
          <cell r="I223">
            <v>0</v>
          </cell>
          <cell r="J223">
            <v>0</v>
          </cell>
        </row>
        <row r="224">
          <cell r="A224" t="str">
            <v xml:space="preserve">                     судебно-психиатрические эксперты</v>
          </cell>
          <cell r="B224">
            <v>0</v>
          </cell>
          <cell r="C224">
            <v>0</v>
          </cell>
          <cell r="D224" t="str">
            <v>67.5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A225" t="str">
            <v xml:space="preserve">                     судебно-наркологические эксперты</v>
          </cell>
          <cell r="B225">
            <v>0</v>
          </cell>
          <cell r="C225">
            <v>0</v>
          </cell>
          <cell r="D225" t="str">
            <v>67.6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A226" t="str">
            <v xml:space="preserve">                     психиатры взрослые</v>
          </cell>
          <cell r="B226">
            <v>0</v>
          </cell>
          <cell r="C226">
            <v>0</v>
          </cell>
          <cell r="D226" t="str">
            <v>67.7</v>
          </cell>
          <cell r="E226">
            <v>33.25</v>
          </cell>
          <cell r="F226">
            <v>28</v>
          </cell>
          <cell r="G226">
            <v>13.75</v>
          </cell>
          <cell r="H226">
            <v>12</v>
          </cell>
          <cell r="I226">
            <v>20</v>
          </cell>
          <cell r="J226">
            <v>9</v>
          </cell>
        </row>
        <row r="227">
          <cell r="A227" t="str">
            <v>Врачи психиатрического профиля, детские</v>
          </cell>
          <cell r="B227">
            <v>0</v>
          </cell>
          <cell r="C227">
            <v>0</v>
          </cell>
          <cell r="D227">
            <v>68</v>
          </cell>
          <cell r="E227">
            <v>4.25</v>
          </cell>
          <cell r="F227">
            <v>2.75</v>
          </cell>
          <cell r="G227">
            <v>3</v>
          </cell>
          <cell r="H227">
            <v>1.75</v>
          </cell>
          <cell r="I227">
            <v>1</v>
          </cell>
          <cell r="J227">
            <v>0</v>
          </cell>
        </row>
        <row r="228">
          <cell r="A228" t="str">
            <v xml:space="preserve">        из них : психотерапевты детские</v>
          </cell>
          <cell r="B228">
            <v>0</v>
          </cell>
          <cell r="C228">
            <v>0</v>
          </cell>
          <cell r="D228" t="str">
            <v>68.1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A229" t="str">
            <v xml:space="preserve">                      медицинские психологи детские</v>
          </cell>
          <cell r="B229">
            <v>0</v>
          </cell>
          <cell r="C229">
            <v>0</v>
          </cell>
          <cell r="D229" t="str">
            <v>68.2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 xml:space="preserve">                      наркологи детские</v>
          </cell>
          <cell r="B230">
            <v>0</v>
          </cell>
          <cell r="C230">
            <v>0</v>
          </cell>
          <cell r="D230" t="str">
            <v>68.3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 xml:space="preserve">                     судебно-психиатрические эксперты детские</v>
          </cell>
          <cell r="B231">
            <v>0</v>
          </cell>
          <cell r="C231">
            <v>0</v>
          </cell>
          <cell r="D231" t="str">
            <v>68.4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A232" t="str">
            <v xml:space="preserve">                     судебно-наркологические эксперты детские</v>
          </cell>
          <cell r="B232">
            <v>0</v>
          </cell>
          <cell r="C232">
            <v>0</v>
          </cell>
          <cell r="D232" t="str">
            <v>68.5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A233" t="str">
            <v xml:space="preserve">                     психиатры детские</v>
          </cell>
          <cell r="B233">
            <v>0</v>
          </cell>
          <cell r="C233">
            <v>0</v>
          </cell>
          <cell r="D233" t="str">
            <v>68.6</v>
          </cell>
          <cell r="E233">
            <v>3.25</v>
          </cell>
          <cell r="F233">
            <v>1.75</v>
          </cell>
          <cell r="G233">
            <v>2</v>
          </cell>
          <cell r="H233">
            <v>0.75</v>
          </cell>
          <cell r="I233">
            <v>1</v>
          </cell>
          <cell r="J233">
            <v>0</v>
          </cell>
        </row>
        <row r="234">
          <cell r="A234" t="str">
            <v>Дерматовенерологи взрослые</v>
          </cell>
          <cell r="B234">
            <v>0</v>
          </cell>
          <cell r="C234">
            <v>0</v>
          </cell>
          <cell r="D234">
            <v>69</v>
          </cell>
          <cell r="E234">
            <v>26.25</v>
          </cell>
          <cell r="F234">
            <v>17.25</v>
          </cell>
          <cell r="G234">
            <v>20.5</v>
          </cell>
          <cell r="H234">
            <v>14.5</v>
          </cell>
          <cell r="I234">
            <v>12</v>
          </cell>
          <cell r="J234">
            <v>9</v>
          </cell>
        </row>
        <row r="235">
          <cell r="A235" t="str">
            <v>Дерматовенерологи детские</v>
          </cell>
          <cell r="B235">
            <v>0</v>
          </cell>
          <cell r="C235">
            <v>0</v>
          </cell>
          <cell r="D235">
            <v>70</v>
          </cell>
          <cell r="E235">
            <v>3</v>
          </cell>
          <cell r="F235">
            <v>2</v>
          </cell>
          <cell r="G235">
            <v>3</v>
          </cell>
          <cell r="H235">
            <v>2</v>
          </cell>
          <cell r="I235">
            <v>2</v>
          </cell>
          <cell r="J235">
            <v>2</v>
          </cell>
        </row>
        <row r="236">
          <cell r="A236" t="str">
            <v>Дерматокосметологи</v>
          </cell>
          <cell r="B236">
            <v>0</v>
          </cell>
          <cell r="C236">
            <v>0</v>
          </cell>
          <cell r="D236">
            <v>71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Патологоанатомы взрослые</v>
          </cell>
          <cell r="B237">
            <v>0</v>
          </cell>
          <cell r="C237">
            <v>0</v>
          </cell>
          <cell r="D237">
            <v>72</v>
          </cell>
          <cell r="E237">
            <v>7</v>
          </cell>
          <cell r="F237">
            <v>4</v>
          </cell>
          <cell r="G237">
            <v>2</v>
          </cell>
          <cell r="H237">
            <v>0</v>
          </cell>
          <cell r="I237">
            <v>3</v>
          </cell>
          <cell r="J237">
            <v>0</v>
          </cell>
        </row>
        <row r="238">
          <cell r="A238" t="str">
            <v>Патологоанатомы детские</v>
          </cell>
          <cell r="B238">
            <v>0</v>
          </cell>
          <cell r="C238">
            <v>0</v>
          </cell>
          <cell r="D238">
            <v>73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Врачи эпидемиологи и гигиенисты</v>
          </cell>
          <cell r="B239">
            <v>0</v>
          </cell>
          <cell r="C239">
            <v>0</v>
          </cell>
          <cell r="D239">
            <v>74</v>
          </cell>
          <cell r="E239">
            <v>61</v>
          </cell>
          <cell r="F239">
            <v>55.25</v>
          </cell>
          <cell r="G239">
            <v>19</v>
          </cell>
          <cell r="H239">
            <v>16.75</v>
          </cell>
          <cell r="I239">
            <v>49</v>
          </cell>
          <cell r="J239">
            <v>16</v>
          </cell>
        </row>
        <row r="240">
          <cell r="A240" t="str">
            <v xml:space="preserve">         из них : эпидемиологи</v>
          </cell>
          <cell r="B240">
            <v>0</v>
          </cell>
          <cell r="C240">
            <v>0</v>
          </cell>
          <cell r="D240" t="str">
            <v>74.1</v>
          </cell>
          <cell r="E240">
            <v>56</v>
          </cell>
          <cell r="F240">
            <v>50.5</v>
          </cell>
          <cell r="G240">
            <v>19</v>
          </cell>
          <cell r="H240">
            <v>16.75</v>
          </cell>
          <cell r="I240">
            <v>46</v>
          </cell>
          <cell r="J240">
            <v>16</v>
          </cell>
        </row>
        <row r="241">
          <cell r="A241" t="str">
            <v xml:space="preserve">                      бактериологи</v>
          </cell>
          <cell r="B241">
            <v>0</v>
          </cell>
          <cell r="C241">
            <v>0</v>
          </cell>
          <cell r="D241" t="str">
            <v>74.2</v>
          </cell>
          <cell r="E241">
            <v>5</v>
          </cell>
          <cell r="F241">
            <v>4.75</v>
          </cell>
          <cell r="G241">
            <v>0</v>
          </cell>
          <cell r="H241">
            <v>0</v>
          </cell>
          <cell r="I241">
            <v>3</v>
          </cell>
          <cell r="J241">
            <v>0</v>
          </cell>
        </row>
        <row r="242">
          <cell r="A242" t="str">
            <v xml:space="preserve">                      вирусологи</v>
          </cell>
          <cell r="B242">
            <v>0</v>
          </cell>
          <cell r="C242">
            <v>0</v>
          </cell>
          <cell r="D242" t="str">
            <v>74.3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 t="str">
            <v xml:space="preserve">                      паразитологи</v>
          </cell>
          <cell r="B243">
            <v>0</v>
          </cell>
          <cell r="C243">
            <v>0</v>
          </cell>
          <cell r="D243" t="str">
            <v>74.4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 t="str">
            <v>Врачи-лаборанты</v>
          </cell>
          <cell r="B244">
            <v>0</v>
          </cell>
          <cell r="C244">
            <v>0</v>
          </cell>
          <cell r="D244">
            <v>75</v>
          </cell>
          <cell r="E244">
            <v>34</v>
          </cell>
          <cell r="F244">
            <v>19.5</v>
          </cell>
          <cell r="G244">
            <v>15</v>
          </cell>
          <cell r="H244">
            <v>7</v>
          </cell>
          <cell r="I244">
            <v>12</v>
          </cell>
          <cell r="J244">
            <v>3</v>
          </cell>
        </row>
        <row r="245">
          <cell r="A245" t="str">
            <v xml:space="preserve">          из них : лаборанты-цитологи</v>
          </cell>
          <cell r="B245">
            <v>0</v>
          </cell>
          <cell r="C245">
            <v>0</v>
          </cell>
          <cell r="D245" t="str">
            <v>75.1</v>
          </cell>
          <cell r="E245">
            <v>2</v>
          </cell>
          <cell r="F245">
            <v>1.75</v>
          </cell>
          <cell r="G245">
            <v>2</v>
          </cell>
          <cell r="H245">
            <v>1.75</v>
          </cell>
          <cell r="I245">
            <v>1</v>
          </cell>
          <cell r="J245">
            <v>1</v>
          </cell>
        </row>
        <row r="246">
          <cell r="A246" t="str">
            <v>Генетики</v>
          </cell>
          <cell r="B246">
            <v>0</v>
          </cell>
          <cell r="C246">
            <v>0</v>
          </cell>
          <cell r="D246">
            <v>76</v>
          </cell>
          <cell r="E246">
            <v>2</v>
          </cell>
          <cell r="F246">
            <v>2</v>
          </cell>
          <cell r="G246">
            <v>0</v>
          </cell>
          <cell r="H246">
            <v>0</v>
          </cell>
          <cell r="I246">
            <v>1</v>
          </cell>
          <cell r="J246">
            <v>0</v>
          </cell>
        </row>
        <row r="247">
          <cell r="A247" t="str">
            <v>Врачи общественного здравоохранения</v>
          </cell>
          <cell r="B247">
            <v>0</v>
          </cell>
          <cell r="C247">
            <v>0</v>
          </cell>
          <cell r="D247">
            <v>77</v>
          </cell>
          <cell r="E247">
            <v>94</v>
          </cell>
          <cell r="F247">
            <v>89.5</v>
          </cell>
          <cell r="G247">
            <v>52.5</v>
          </cell>
          <cell r="H247">
            <v>52</v>
          </cell>
          <cell r="I247">
            <v>69</v>
          </cell>
          <cell r="J247">
            <v>43</v>
          </cell>
        </row>
        <row r="248">
          <cell r="A248" t="str">
            <v xml:space="preserve">          из них : валеологи</v>
          </cell>
          <cell r="B248">
            <v>0</v>
          </cell>
          <cell r="C248">
            <v>0</v>
          </cell>
          <cell r="D248" t="str">
            <v>77.1</v>
          </cell>
          <cell r="E248">
            <v>2</v>
          </cell>
          <cell r="F248">
            <v>2</v>
          </cell>
          <cell r="G248">
            <v>2</v>
          </cell>
          <cell r="H248">
            <v>2</v>
          </cell>
          <cell r="I248">
            <v>2</v>
          </cell>
          <cell r="J248">
            <v>2</v>
          </cell>
        </row>
        <row r="249">
          <cell r="A249" t="str">
            <v xml:space="preserve">                       статистики</v>
          </cell>
          <cell r="B249">
            <v>0</v>
          </cell>
          <cell r="C249">
            <v>0</v>
          </cell>
          <cell r="D249" t="str">
            <v>77.2</v>
          </cell>
          <cell r="E249">
            <v>49</v>
          </cell>
          <cell r="F249">
            <v>46.25</v>
          </cell>
          <cell r="G249">
            <v>26</v>
          </cell>
          <cell r="H249">
            <v>25.5</v>
          </cell>
          <cell r="I249">
            <v>39</v>
          </cell>
          <cell r="J249">
            <v>23</v>
          </cell>
        </row>
        <row r="250">
          <cell r="A250" t="str">
            <v xml:space="preserve">                       методисты</v>
          </cell>
          <cell r="B250">
            <v>0</v>
          </cell>
          <cell r="C250">
            <v>0</v>
          </cell>
          <cell r="D250" t="str">
            <v>77.3</v>
          </cell>
          <cell r="E250">
            <v>5</v>
          </cell>
          <cell r="F250">
            <v>5</v>
          </cell>
          <cell r="G250">
            <v>4</v>
          </cell>
          <cell r="H250">
            <v>4</v>
          </cell>
          <cell r="I250">
            <v>4</v>
          </cell>
          <cell r="J250">
            <v>3</v>
          </cell>
        </row>
        <row r="251">
          <cell r="A251" t="str">
            <v xml:space="preserve">                       эксперты</v>
          </cell>
          <cell r="B251">
            <v>0</v>
          </cell>
          <cell r="C251">
            <v>0</v>
          </cell>
          <cell r="D251" t="str">
            <v>77.4</v>
          </cell>
          <cell r="E251">
            <v>37</v>
          </cell>
          <cell r="F251">
            <v>35.25</v>
          </cell>
          <cell r="G251">
            <v>19.5</v>
          </cell>
          <cell r="H251">
            <v>19.5</v>
          </cell>
          <cell r="I251">
            <v>22</v>
          </cell>
          <cell r="J251">
            <v>13</v>
          </cell>
        </row>
        <row r="252">
          <cell r="A252" t="str">
            <v>Геронтологи</v>
          </cell>
          <cell r="B252">
            <v>0</v>
          </cell>
          <cell r="C252">
            <v>0</v>
          </cell>
          <cell r="D252">
            <v>78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 t="str">
            <v>Врачи лучевой диагностики</v>
          </cell>
          <cell r="B253">
            <v>0</v>
          </cell>
          <cell r="C253">
            <v>0</v>
          </cell>
          <cell r="D253">
            <v>79</v>
          </cell>
          <cell r="E253">
            <v>114</v>
          </cell>
          <cell r="F253">
            <v>94</v>
          </cell>
          <cell r="G253">
            <v>64.5</v>
          </cell>
          <cell r="H253">
            <v>54</v>
          </cell>
          <cell r="I253">
            <v>53</v>
          </cell>
          <cell r="J253">
            <v>31</v>
          </cell>
        </row>
        <row r="254">
          <cell r="A254" t="str">
            <v xml:space="preserve">         из них :    ультразвуковой диагностики</v>
          </cell>
          <cell r="B254">
            <v>0</v>
          </cell>
          <cell r="C254">
            <v>0</v>
          </cell>
          <cell r="D254" t="str">
            <v>79.1</v>
          </cell>
          <cell r="E254">
            <v>53</v>
          </cell>
          <cell r="F254">
            <v>45.5</v>
          </cell>
          <cell r="G254">
            <v>32.25</v>
          </cell>
          <cell r="H254">
            <v>28</v>
          </cell>
          <cell r="I254">
            <v>27</v>
          </cell>
          <cell r="J254">
            <v>16</v>
          </cell>
        </row>
        <row r="255">
          <cell r="A255" t="str">
            <v xml:space="preserve">                          рентгенологи</v>
          </cell>
          <cell r="B255">
            <v>0</v>
          </cell>
          <cell r="C255">
            <v>0</v>
          </cell>
          <cell r="D255" t="str">
            <v>79.2</v>
          </cell>
          <cell r="E255">
            <v>50</v>
          </cell>
          <cell r="F255">
            <v>41.75</v>
          </cell>
          <cell r="G255">
            <v>28.75</v>
          </cell>
          <cell r="H255">
            <v>23.75</v>
          </cell>
          <cell r="I255">
            <v>22</v>
          </cell>
          <cell r="J255">
            <v>14</v>
          </cell>
        </row>
        <row r="256">
          <cell r="A256" t="str">
            <v xml:space="preserve">                   компьютерной и магнито-резонансной томографии</v>
          </cell>
          <cell r="B256">
            <v>0</v>
          </cell>
          <cell r="C256">
            <v>0</v>
          </cell>
          <cell r="D256" t="str">
            <v>79.3</v>
          </cell>
          <cell r="E256">
            <v>10.5</v>
          </cell>
          <cell r="F256">
            <v>6.25</v>
          </cell>
          <cell r="G256">
            <v>3</v>
          </cell>
          <cell r="H256">
            <v>1.75</v>
          </cell>
          <cell r="I256">
            <v>4</v>
          </cell>
          <cell r="J256">
            <v>1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 t="str">
            <v xml:space="preserve">                          радиоизотопной диагностики</v>
          </cell>
          <cell r="B258">
            <v>0</v>
          </cell>
          <cell r="C258">
            <v>0</v>
          </cell>
          <cell r="D258" t="str">
            <v>79.4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 t="str">
            <v>Врачи общей практики / семейные врачи</v>
          </cell>
          <cell r="B259">
            <v>0</v>
          </cell>
          <cell r="C259">
            <v>0</v>
          </cell>
          <cell r="D259">
            <v>80</v>
          </cell>
          <cell r="E259">
            <v>293.75</v>
          </cell>
          <cell r="F259">
            <v>276</v>
          </cell>
          <cell r="G259">
            <v>293.75</v>
          </cell>
          <cell r="H259">
            <v>276</v>
          </cell>
          <cell r="I259">
            <v>239</v>
          </cell>
          <cell r="J259">
            <v>239</v>
          </cell>
        </row>
        <row r="260">
          <cell r="A260" t="str">
            <v>Врачи традиционной терапии</v>
          </cell>
          <cell r="B260">
            <v>0</v>
          </cell>
          <cell r="C260">
            <v>0</v>
          </cell>
          <cell r="D260">
            <v>81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 t="str">
            <v>Врачи - клинические фармацевты</v>
          </cell>
          <cell r="B261">
            <v>0</v>
          </cell>
          <cell r="C261">
            <v>0</v>
          </cell>
          <cell r="D261">
            <v>82</v>
          </cell>
          <cell r="E261">
            <v>9</v>
          </cell>
          <cell r="F261">
            <v>4.75</v>
          </cell>
          <cell r="G261">
            <v>0.5</v>
          </cell>
          <cell r="H261">
            <v>0.5</v>
          </cell>
          <cell r="I261">
            <v>2</v>
          </cell>
          <cell r="J261">
            <v>0</v>
          </cell>
        </row>
        <row r="262">
          <cell r="A262" t="str">
            <v>Специалисты с высшим немедицинским образованием</v>
          </cell>
          <cell r="B262">
            <v>0</v>
          </cell>
          <cell r="C262">
            <v>0</v>
          </cell>
          <cell r="D262">
            <v>83</v>
          </cell>
          <cell r="E262">
            <v>61.25</v>
          </cell>
          <cell r="F262">
            <v>53.5</v>
          </cell>
          <cell r="G262">
            <v>43.25</v>
          </cell>
          <cell r="H262">
            <v>40</v>
          </cell>
          <cell r="I262">
            <v>43</v>
          </cell>
          <cell r="J262">
            <v>33</v>
          </cell>
        </row>
        <row r="263">
          <cell r="A263" t="str">
            <v xml:space="preserve">                      из них: социальные работники</v>
          </cell>
          <cell r="B263">
            <v>0</v>
          </cell>
          <cell r="C263">
            <v>0</v>
          </cell>
          <cell r="D263" t="str">
            <v>83.1</v>
          </cell>
          <cell r="E263">
            <v>5</v>
          </cell>
          <cell r="F263">
            <v>5</v>
          </cell>
          <cell r="G263">
            <v>4</v>
          </cell>
          <cell r="H263">
            <v>4</v>
          </cell>
          <cell r="I263">
            <v>5</v>
          </cell>
          <cell r="J263">
            <v>4</v>
          </cell>
        </row>
        <row r="264">
          <cell r="A264" t="str">
            <v xml:space="preserve">                                    психологи</v>
          </cell>
          <cell r="B264">
            <v>0</v>
          </cell>
          <cell r="C264">
            <v>0</v>
          </cell>
          <cell r="D264" t="str">
            <v>83.2</v>
          </cell>
          <cell r="E264">
            <v>53.5</v>
          </cell>
          <cell r="F264">
            <v>45.75</v>
          </cell>
          <cell r="G264">
            <v>36.5</v>
          </cell>
          <cell r="H264">
            <v>33.25</v>
          </cell>
          <cell r="I264">
            <v>36</v>
          </cell>
          <cell r="J264">
            <v>27</v>
          </cell>
        </row>
        <row r="265">
          <cell r="A265" t="str">
            <v>Средний медперсонал, всего</v>
          </cell>
          <cell r="B265">
            <v>0</v>
          </cell>
          <cell r="C265">
            <v>0</v>
          </cell>
          <cell r="D265">
            <v>84</v>
          </cell>
          <cell r="E265">
            <v>4991</v>
          </cell>
          <cell r="F265">
            <v>4674.75</v>
          </cell>
          <cell r="G265">
            <v>2809</v>
          </cell>
          <cell r="H265">
            <v>2758</v>
          </cell>
          <cell r="I265">
            <v>4248</v>
          </cell>
          <cell r="J265">
            <v>2547</v>
          </cell>
        </row>
        <row r="266">
          <cell r="A266" t="str">
            <v>в том числе :    медицинские сестры</v>
          </cell>
          <cell r="B266">
            <v>0</v>
          </cell>
          <cell r="C266">
            <v>0</v>
          </cell>
          <cell r="D266">
            <v>85</v>
          </cell>
          <cell r="E266">
            <v>3034</v>
          </cell>
          <cell r="F266">
            <v>2797.25</v>
          </cell>
          <cell r="G266">
            <v>1295.5</v>
          </cell>
          <cell r="H266">
            <v>1282</v>
          </cell>
          <cell r="I266">
            <v>2531</v>
          </cell>
          <cell r="J266">
            <v>1176</v>
          </cell>
        </row>
        <row r="267">
          <cell r="A267" t="str">
            <v>медицинские сестры участковые</v>
          </cell>
          <cell r="B267">
            <v>0</v>
          </cell>
          <cell r="C267">
            <v>0</v>
          </cell>
          <cell r="D267">
            <v>86</v>
          </cell>
          <cell r="E267">
            <v>148</v>
          </cell>
          <cell r="F267">
            <v>136.5</v>
          </cell>
          <cell r="G267">
            <v>148</v>
          </cell>
          <cell r="H267">
            <v>136.5</v>
          </cell>
          <cell r="I267">
            <v>133</v>
          </cell>
          <cell r="J267">
            <v>133</v>
          </cell>
        </row>
        <row r="268">
          <cell r="A268" t="str">
            <v xml:space="preserve">               из них: терапевтических участков</v>
          </cell>
          <cell r="B268">
            <v>0</v>
          </cell>
          <cell r="C268">
            <v>0</v>
          </cell>
          <cell r="D268" t="str">
            <v>86.1</v>
          </cell>
          <cell r="E268">
            <v>43.75</v>
          </cell>
          <cell r="F268">
            <v>43.75</v>
          </cell>
          <cell r="G268">
            <v>43.75</v>
          </cell>
          <cell r="H268">
            <v>43.75</v>
          </cell>
          <cell r="I268">
            <v>45</v>
          </cell>
          <cell r="J268">
            <v>45</v>
          </cell>
        </row>
        <row r="269">
          <cell r="A269" t="str">
            <v>педиатрических участков</v>
          </cell>
          <cell r="B269">
            <v>0</v>
          </cell>
          <cell r="C269">
            <v>0</v>
          </cell>
          <cell r="D269" t="str">
            <v>86.2</v>
          </cell>
          <cell r="E269">
            <v>101.25</v>
          </cell>
          <cell r="F269">
            <v>89.75</v>
          </cell>
          <cell r="G269">
            <v>101.25</v>
          </cell>
          <cell r="H269">
            <v>89.75</v>
          </cell>
          <cell r="I269">
            <v>86</v>
          </cell>
          <cell r="J269">
            <v>86</v>
          </cell>
        </row>
        <row r="270">
          <cell r="A270" t="str">
            <v>медицинские сестры общей практики</v>
          </cell>
          <cell r="B270">
            <v>0</v>
          </cell>
          <cell r="C270">
            <v>0</v>
          </cell>
          <cell r="D270">
            <v>87</v>
          </cell>
          <cell r="E270">
            <v>913.5</v>
          </cell>
          <cell r="F270">
            <v>898.25</v>
          </cell>
          <cell r="G270">
            <v>913.5</v>
          </cell>
          <cell r="H270">
            <v>898.25</v>
          </cell>
          <cell r="I270">
            <v>823</v>
          </cell>
          <cell r="J270">
            <v>823</v>
          </cell>
        </row>
        <row r="271">
          <cell r="A271" t="str">
            <v>медицинские сестры по ЗОЖ</v>
          </cell>
          <cell r="B271">
            <v>0</v>
          </cell>
          <cell r="C271">
            <v>0</v>
          </cell>
          <cell r="D271">
            <v>88</v>
          </cell>
          <cell r="E271">
            <v>6.25</v>
          </cell>
          <cell r="F271">
            <v>5.75</v>
          </cell>
          <cell r="G271">
            <v>6.25</v>
          </cell>
          <cell r="H271">
            <v>5.75</v>
          </cell>
          <cell r="I271">
            <v>5</v>
          </cell>
          <cell r="J271">
            <v>5</v>
          </cell>
        </row>
        <row r="272">
          <cell r="A272" t="str">
            <v>медицинские статистики</v>
          </cell>
          <cell r="B272">
            <v>0</v>
          </cell>
          <cell r="C272">
            <v>0</v>
          </cell>
          <cell r="D272">
            <v>89</v>
          </cell>
          <cell r="E272">
            <v>50.5</v>
          </cell>
          <cell r="F272">
            <v>48</v>
          </cell>
          <cell r="G272">
            <v>21</v>
          </cell>
          <cell r="H272">
            <v>21</v>
          </cell>
          <cell r="I272">
            <v>36</v>
          </cell>
          <cell r="J272">
            <v>17</v>
          </cell>
        </row>
        <row r="273">
          <cell r="A273" t="str">
            <v>акушерки</v>
          </cell>
          <cell r="B273">
            <v>0</v>
          </cell>
          <cell r="C273">
            <v>0</v>
          </cell>
          <cell r="D273">
            <v>90</v>
          </cell>
          <cell r="E273">
            <v>340.5</v>
          </cell>
          <cell r="F273">
            <v>316</v>
          </cell>
          <cell r="G273">
            <v>132</v>
          </cell>
          <cell r="H273">
            <v>131.25</v>
          </cell>
          <cell r="I273">
            <v>292</v>
          </cell>
          <cell r="J273">
            <v>127</v>
          </cell>
        </row>
        <row r="274">
          <cell r="A274" t="str">
            <v>акушерки общей практики</v>
          </cell>
          <cell r="B274">
            <v>0</v>
          </cell>
          <cell r="C274">
            <v>0</v>
          </cell>
          <cell r="D274">
            <v>91</v>
          </cell>
          <cell r="E274">
            <v>11.75</v>
          </cell>
          <cell r="F274">
            <v>11.75</v>
          </cell>
          <cell r="G274">
            <v>11.75</v>
          </cell>
          <cell r="H274">
            <v>11.75</v>
          </cell>
          <cell r="I274">
            <v>12</v>
          </cell>
          <cell r="J274">
            <v>12</v>
          </cell>
        </row>
        <row r="275">
          <cell r="A275" t="str">
            <v>фельдшера</v>
          </cell>
          <cell r="B275">
            <v>0</v>
          </cell>
          <cell r="C275">
            <v>0</v>
          </cell>
          <cell r="D275">
            <v>92</v>
          </cell>
          <cell r="E275">
            <v>119.25</v>
          </cell>
          <cell r="F275">
            <v>113.75</v>
          </cell>
          <cell r="G275">
            <v>108.25</v>
          </cell>
          <cell r="H275">
            <v>102.75</v>
          </cell>
          <cell r="I275">
            <v>108</v>
          </cell>
          <cell r="J275">
            <v>97</v>
          </cell>
        </row>
        <row r="276">
          <cell r="A276" t="str">
            <v>фельдшера общей практики</v>
          </cell>
          <cell r="B276">
            <v>0</v>
          </cell>
          <cell r="C276">
            <v>0</v>
          </cell>
          <cell r="D276">
            <v>93</v>
          </cell>
          <cell r="E276">
            <v>10</v>
          </cell>
          <cell r="F276">
            <v>10</v>
          </cell>
          <cell r="G276">
            <v>10</v>
          </cell>
          <cell r="H276">
            <v>10</v>
          </cell>
          <cell r="I276">
            <v>10</v>
          </cell>
          <cell r="J276">
            <v>10</v>
          </cell>
        </row>
        <row r="277">
          <cell r="A277" t="str">
            <v>рентгенлаборанты</v>
          </cell>
          <cell r="B277">
            <v>0</v>
          </cell>
          <cell r="C277">
            <v>0</v>
          </cell>
          <cell r="D277">
            <v>94</v>
          </cell>
          <cell r="E277">
            <v>96</v>
          </cell>
          <cell r="F277">
            <v>86</v>
          </cell>
          <cell r="G277">
            <v>40.75</v>
          </cell>
          <cell r="H277">
            <v>39</v>
          </cell>
          <cell r="I277">
            <v>74</v>
          </cell>
          <cell r="J277">
            <v>36</v>
          </cell>
        </row>
        <row r="278">
          <cell r="A278" t="str">
            <v>зубные врачи</v>
          </cell>
          <cell r="B278">
            <v>0</v>
          </cell>
          <cell r="C278">
            <v>0</v>
          </cell>
          <cell r="D278">
            <v>95</v>
          </cell>
          <cell r="E278">
            <v>9.75</v>
          </cell>
          <cell r="F278">
            <v>9.75</v>
          </cell>
          <cell r="G278">
            <v>5</v>
          </cell>
          <cell r="H278">
            <v>5</v>
          </cell>
          <cell r="I278">
            <v>9</v>
          </cell>
          <cell r="J278">
            <v>5</v>
          </cell>
        </row>
        <row r="279">
          <cell r="A279" t="str">
            <v>зубные техники</v>
          </cell>
          <cell r="B279">
            <v>0</v>
          </cell>
          <cell r="C279">
            <v>0</v>
          </cell>
          <cell r="D279">
            <v>96</v>
          </cell>
          <cell r="E279">
            <v>1.25</v>
          </cell>
          <cell r="F279">
            <v>1.25</v>
          </cell>
          <cell r="G279">
            <v>1.25</v>
          </cell>
          <cell r="H279">
            <v>1.25</v>
          </cell>
          <cell r="I279">
            <v>2</v>
          </cell>
          <cell r="J279">
            <v>2</v>
          </cell>
        </row>
        <row r="280">
          <cell r="A280" t="str">
            <v>лаборанты клинических лабораторий</v>
          </cell>
          <cell r="B280">
            <v>0</v>
          </cell>
          <cell r="C280">
            <v>0</v>
          </cell>
          <cell r="D280">
            <v>97</v>
          </cell>
          <cell r="E280">
            <v>212</v>
          </cell>
          <cell r="F280">
            <v>202.25</v>
          </cell>
          <cell r="G280">
            <v>93.25</v>
          </cell>
          <cell r="H280">
            <v>91</v>
          </cell>
          <cell r="I280">
            <v>181</v>
          </cell>
          <cell r="J280">
            <v>84</v>
          </cell>
        </row>
        <row r="281">
          <cell r="A281" t="str">
            <v>лаборанты-гистологи</v>
          </cell>
          <cell r="B281">
            <v>0</v>
          </cell>
          <cell r="C281">
            <v>0</v>
          </cell>
          <cell r="D281">
            <v>98</v>
          </cell>
          <cell r="E281">
            <v>9.5</v>
          </cell>
          <cell r="F281">
            <v>9.5</v>
          </cell>
          <cell r="G281">
            <v>2</v>
          </cell>
          <cell r="H281">
            <v>2</v>
          </cell>
          <cell r="I281">
            <v>7</v>
          </cell>
          <cell r="J281">
            <v>2</v>
          </cell>
        </row>
        <row r="282">
          <cell r="A282" t="str">
            <v>прочий медперсонал</v>
          </cell>
          <cell r="B282">
            <v>0</v>
          </cell>
          <cell r="C282">
            <v>0</v>
          </cell>
          <cell r="D282">
            <v>99</v>
          </cell>
          <cell r="E282">
            <v>28.75</v>
          </cell>
          <cell r="F282">
            <v>28.75</v>
          </cell>
          <cell r="G282">
            <v>20.5</v>
          </cell>
          <cell r="H282">
            <v>20.5</v>
          </cell>
          <cell r="I282">
            <v>25</v>
          </cell>
          <cell r="J282">
            <v>18</v>
          </cell>
        </row>
        <row r="283">
          <cell r="A283" t="str">
            <v>Провизоры</v>
          </cell>
          <cell r="B283">
            <v>0</v>
          </cell>
          <cell r="C283">
            <v>0</v>
          </cell>
          <cell r="D283">
            <v>100</v>
          </cell>
          <cell r="E283">
            <v>14.25</v>
          </cell>
          <cell r="F283">
            <v>14.25</v>
          </cell>
          <cell r="G283">
            <v>4.75</v>
          </cell>
          <cell r="H283">
            <v>4.75</v>
          </cell>
          <cell r="I283">
            <v>14</v>
          </cell>
          <cell r="J283">
            <v>4</v>
          </cell>
        </row>
        <row r="284">
          <cell r="A284" t="str">
            <v>Фармацевты</v>
          </cell>
          <cell r="B284">
            <v>0</v>
          </cell>
          <cell r="C284">
            <v>0</v>
          </cell>
          <cell r="D284">
            <v>101</v>
          </cell>
          <cell r="E284">
            <v>21</v>
          </cell>
          <cell r="F284">
            <v>19.5</v>
          </cell>
          <cell r="G284">
            <v>10</v>
          </cell>
          <cell r="H284">
            <v>8.5</v>
          </cell>
          <cell r="I284">
            <v>15</v>
          </cell>
          <cell r="J284">
            <v>8</v>
          </cell>
        </row>
        <row r="285">
          <cell r="A285" t="str">
            <v>Младший медперсонал</v>
          </cell>
          <cell r="B285">
            <v>0</v>
          </cell>
          <cell r="C285">
            <v>0</v>
          </cell>
          <cell r="D285">
            <v>102</v>
          </cell>
          <cell r="E285">
            <v>1744.5</v>
          </cell>
          <cell r="F285">
            <v>1549.5</v>
          </cell>
          <cell r="G285">
            <v>324.5</v>
          </cell>
          <cell r="H285">
            <v>312.75</v>
          </cell>
          <cell r="I285">
            <v>1345</v>
          </cell>
          <cell r="J285">
            <v>278</v>
          </cell>
        </row>
        <row r="286">
          <cell r="A286" t="str">
            <v>Прочий немедицинский персонал</v>
          </cell>
          <cell r="B286">
            <v>0</v>
          </cell>
          <cell r="C286">
            <v>0</v>
          </cell>
          <cell r="D286">
            <v>103</v>
          </cell>
          <cell r="E286">
            <v>1388.25</v>
          </cell>
          <cell r="F286">
            <v>1295</v>
          </cell>
          <cell r="G286">
            <v>578.25</v>
          </cell>
          <cell r="H286">
            <v>556</v>
          </cell>
          <cell r="I286">
            <v>1081</v>
          </cell>
          <cell r="J286">
            <v>485</v>
          </cell>
        </row>
        <row r="287">
          <cell r="A287" t="str">
            <v xml:space="preserve">                      из них: социальные работники</v>
          </cell>
          <cell r="B287">
            <v>0</v>
          </cell>
          <cell r="C287">
            <v>0</v>
          </cell>
          <cell r="D287" t="str">
            <v>103.1</v>
          </cell>
          <cell r="E287">
            <v>23</v>
          </cell>
          <cell r="F287">
            <v>20.25</v>
          </cell>
          <cell r="G287">
            <v>21</v>
          </cell>
          <cell r="H287">
            <v>19</v>
          </cell>
          <cell r="I287">
            <v>20</v>
          </cell>
          <cell r="J287">
            <v>19</v>
          </cell>
        </row>
        <row r="288">
          <cell r="A288" t="str">
            <v>Всего должностей</v>
          </cell>
          <cell r="B288">
            <v>0</v>
          </cell>
          <cell r="C288">
            <v>0</v>
          </cell>
          <cell r="D288">
            <v>104</v>
          </cell>
          <cell r="E288">
            <v>10451</v>
          </cell>
          <cell r="F288">
            <v>9447.5</v>
          </cell>
          <cell r="G288">
            <v>4921</v>
          </cell>
          <cell r="H288">
            <v>4680</v>
          </cell>
          <cell r="I288">
            <v>8014</v>
          </cell>
          <cell r="J288">
            <v>4105</v>
          </cell>
        </row>
        <row r="293">
          <cell r="A293" t="str">
            <v xml:space="preserve">1103       Число физических лиц специалистов с высшим немедицинским образованием - основных работников, 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 t="str">
            <v>занимающих должности врачей-лаборантов __________</v>
          </cell>
          <cell r="B294">
            <v>0</v>
          </cell>
          <cell r="D294">
            <v>0</v>
          </cell>
          <cell r="E294" t="str">
            <v>врачей-статистиков __________</v>
          </cell>
          <cell r="F294">
            <v>0</v>
          </cell>
          <cell r="G294">
            <v>0</v>
          </cell>
        </row>
        <row r="295">
          <cell r="A295" t="str">
            <v>по лечебной физкультуре __________</v>
          </cell>
          <cell r="B295">
            <v>0</v>
          </cell>
          <cell r="D295">
            <v>0</v>
          </cell>
          <cell r="E295" t="str">
            <v>психологи __________</v>
          </cell>
          <cell r="F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>
            <v>1104</v>
          </cell>
          <cell r="B298" t="str">
            <v>ШТАТНЫЕ ДОЛЖНОСТИ ОРГАНИЗАЦИЙ НА ХОЗРАСЧЕТЕ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 t="str">
            <v>Наименование должности</v>
          </cell>
          <cell r="B299">
            <v>0</v>
          </cell>
          <cell r="C299">
            <v>0</v>
          </cell>
          <cell r="D299" t="str">
            <v>№ строки</v>
          </cell>
          <cell r="E299" t="str">
            <v>Число должностей в целом по организации</v>
          </cell>
          <cell r="F299">
            <v>0</v>
          </cell>
          <cell r="G299" t="str">
            <v>Число физических лиц на занятых должностях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 t="str">
            <v xml:space="preserve">штатные </v>
          </cell>
          <cell r="F300" t="str">
            <v>занятые</v>
          </cell>
          <cell r="G300">
            <v>0</v>
          </cell>
        </row>
        <row r="301">
          <cell r="A301" t="str">
            <v>А</v>
          </cell>
          <cell r="B301">
            <v>0</v>
          </cell>
          <cell r="C301">
            <v>0</v>
          </cell>
          <cell r="D301" t="str">
            <v>Б</v>
          </cell>
          <cell r="E301">
            <v>1</v>
          </cell>
          <cell r="F301">
            <v>2</v>
          </cell>
          <cell r="G301">
            <v>3</v>
          </cell>
        </row>
        <row r="302">
          <cell r="A302" t="str">
            <v>Врачи</v>
          </cell>
          <cell r="B302">
            <v>0</v>
          </cell>
          <cell r="C302">
            <v>0</v>
          </cell>
          <cell r="D302" t="str">
            <v>01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Специалисты с высшим немедицинским образованием</v>
          </cell>
          <cell r="B303">
            <v>0</v>
          </cell>
          <cell r="C303">
            <v>0</v>
          </cell>
          <cell r="D303" t="str">
            <v>02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Провизоры</v>
          </cell>
          <cell r="B304">
            <v>0</v>
          </cell>
          <cell r="C304">
            <v>0</v>
          </cell>
          <cell r="D304" t="str">
            <v>03</v>
          </cell>
          <cell r="E304">
            <v>0</v>
          </cell>
          <cell r="F304">
            <v>0</v>
          </cell>
          <cell r="G304">
            <v>0</v>
          </cell>
        </row>
        <row r="305">
          <cell r="A305" t="str">
            <v>Фармацевты</v>
          </cell>
          <cell r="B305">
            <v>0</v>
          </cell>
          <cell r="C305">
            <v>0</v>
          </cell>
          <cell r="D305" t="str">
            <v>04</v>
          </cell>
          <cell r="E305">
            <v>0</v>
          </cell>
          <cell r="F305">
            <v>0</v>
          </cell>
          <cell r="G305">
            <v>0</v>
          </cell>
        </row>
        <row r="306">
          <cell r="A306" t="str">
            <v>Средние медицинские работники</v>
          </cell>
          <cell r="B306">
            <v>0</v>
          </cell>
          <cell r="C306">
            <v>0</v>
          </cell>
          <cell r="D306" t="str">
            <v>05</v>
          </cell>
          <cell r="E306">
            <v>0</v>
          </cell>
          <cell r="F306">
            <v>0</v>
          </cell>
          <cell r="G306">
            <v>0</v>
          </cell>
        </row>
        <row r="307">
          <cell r="A307" t="str">
            <v>Прочие</v>
          </cell>
          <cell r="B307">
            <v>0</v>
          </cell>
          <cell r="C307">
            <v>0</v>
          </cell>
          <cell r="D307" t="str">
            <v>06</v>
          </cell>
          <cell r="E307">
            <v>0</v>
          </cell>
          <cell r="F307">
            <v>0</v>
          </cell>
          <cell r="G307">
            <v>0</v>
          </cell>
        </row>
        <row r="308">
          <cell r="A308" t="str">
            <v>Всего должностей</v>
          </cell>
          <cell r="B308">
            <v>0</v>
          </cell>
          <cell r="C308">
            <v>0</v>
          </cell>
          <cell r="D308" t="str">
            <v>07</v>
          </cell>
          <cell r="E308">
            <v>0</v>
          </cell>
          <cell r="F308">
            <v>0</v>
          </cell>
          <cell r="G30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127"/>
  <sheetViews>
    <sheetView topLeftCell="A59" workbookViewId="0">
      <selection activeCell="O52" sqref="O52"/>
    </sheetView>
  </sheetViews>
  <sheetFormatPr defaultRowHeight="15" x14ac:dyDescent="0.25"/>
  <cols>
    <col min="4" max="4" width="12.140625" customWidth="1"/>
    <col min="5" max="5" width="11.28515625" customWidth="1"/>
    <col min="6" max="6" width="11.42578125" customWidth="1"/>
    <col min="7" max="7" width="11.140625" customWidth="1"/>
    <col min="8" max="8" width="10.85546875" customWidth="1"/>
    <col min="9" max="9" width="12.5703125" customWidth="1"/>
    <col min="10" max="10" width="12.140625" customWidth="1"/>
    <col min="11" max="11" width="11.7109375" customWidth="1"/>
    <col min="12" max="12" width="14" customWidth="1"/>
    <col min="13" max="13" width="11.85546875" customWidth="1"/>
    <col min="14" max="14" width="12.42578125" customWidth="1"/>
    <col min="15" max="15" width="12.5703125" customWidth="1"/>
    <col min="16" max="16" width="12.42578125" customWidth="1"/>
    <col min="17" max="17" width="12" customWidth="1"/>
    <col min="18" max="18" width="11.7109375" customWidth="1"/>
    <col min="19" max="20" width="11.85546875" customWidth="1"/>
    <col min="21" max="21" width="12" customWidth="1"/>
    <col min="22" max="22" width="11.7109375" customWidth="1"/>
    <col min="23" max="23" width="11.5703125" customWidth="1"/>
    <col min="24" max="24" width="11.85546875" customWidth="1"/>
    <col min="25" max="25" width="10.5703125" customWidth="1"/>
    <col min="26" max="26" width="12" customWidth="1"/>
  </cols>
  <sheetData>
    <row r="2" spans="2:41" x14ac:dyDescent="0.25">
      <c r="C2" s="100" t="s">
        <v>72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2:41" x14ac:dyDescent="0.25">
      <c r="B3" s="4"/>
      <c r="C3" s="4"/>
      <c r="D3" s="4"/>
      <c r="E3" s="4"/>
      <c r="F3" s="4"/>
      <c r="G3" s="4"/>
      <c r="H3" s="4"/>
      <c r="I3" s="215" t="s">
        <v>73</v>
      </c>
      <c r="J3" s="215"/>
      <c r="K3" s="215"/>
      <c r="L3" s="215"/>
      <c r="M3" s="215"/>
      <c r="N3" s="214" t="s">
        <v>74</v>
      </c>
      <c r="O3" s="214"/>
      <c r="P3" s="214"/>
      <c r="Q3" s="214"/>
      <c r="R3" s="214"/>
      <c r="S3" s="214"/>
      <c r="T3" s="214"/>
      <c r="U3" s="214"/>
    </row>
    <row r="4" spans="2:41" x14ac:dyDescent="0.25">
      <c r="B4" s="4" t="s">
        <v>75</v>
      </c>
      <c r="C4" s="4" t="s">
        <v>76</v>
      </c>
      <c r="D4" s="102">
        <v>2013</v>
      </c>
      <c r="E4" s="102">
        <v>2014</v>
      </c>
      <c r="F4" s="102">
        <v>2015</v>
      </c>
      <c r="G4" s="102">
        <v>2016</v>
      </c>
      <c r="H4" s="102">
        <v>2017</v>
      </c>
      <c r="I4" s="14">
        <v>2018</v>
      </c>
      <c r="J4" s="14">
        <v>2019</v>
      </c>
      <c r="K4" s="14">
        <v>2020</v>
      </c>
      <c r="L4" s="14">
        <v>2021</v>
      </c>
      <c r="M4" s="14">
        <v>2022</v>
      </c>
      <c r="N4" s="103">
        <v>2023</v>
      </c>
      <c r="O4" s="103">
        <v>2024</v>
      </c>
      <c r="P4" s="103">
        <v>2025</v>
      </c>
      <c r="Q4" s="103">
        <v>2026</v>
      </c>
      <c r="R4" s="103">
        <v>2027</v>
      </c>
      <c r="S4" s="103">
        <v>2028</v>
      </c>
      <c r="T4" s="103">
        <v>2029</v>
      </c>
      <c r="U4" s="103">
        <v>2030</v>
      </c>
      <c r="V4" s="104">
        <v>2031</v>
      </c>
      <c r="W4" s="104">
        <v>2032</v>
      </c>
      <c r="X4" s="104">
        <v>2033</v>
      </c>
      <c r="Y4" s="104">
        <v>2034</v>
      </c>
      <c r="Z4" s="104">
        <v>2035</v>
      </c>
      <c r="AA4" s="104">
        <v>2036</v>
      </c>
      <c r="AB4" s="104">
        <v>2037</v>
      </c>
      <c r="AC4" s="104">
        <v>2038</v>
      </c>
      <c r="AD4" s="104">
        <v>2039</v>
      </c>
      <c r="AE4" s="104">
        <v>2040</v>
      </c>
      <c r="AF4" s="103">
        <v>2041</v>
      </c>
      <c r="AG4" s="103">
        <v>2042</v>
      </c>
      <c r="AH4" s="103">
        <v>2043</v>
      </c>
      <c r="AI4" s="103">
        <v>2044</v>
      </c>
      <c r="AJ4" s="103">
        <v>2045</v>
      </c>
      <c r="AK4" s="103">
        <v>2046</v>
      </c>
      <c r="AL4" s="103">
        <v>2047</v>
      </c>
      <c r="AM4" s="103">
        <v>2048</v>
      </c>
      <c r="AN4" s="103">
        <v>2049</v>
      </c>
      <c r="AO4" s="103">
        <v>2050</v>
      </c>
    </row>
    <row r="5" spans="2:41" hidden="1" x14ac:dyDescent="0.25">
      <c r="B5" s="4">
        <v>1</v>
      </c>
      <c r="C5" s="4" t="s">
        <v>77</v>
      </c>
      <c r="D5" s="4"/>
      <c r="E5" s="4"/>
      <c r="F5" s="4"/>
      <c r="G5" s="4"/>
      <c r="H5" s="4"/>
      <c r="I5" s="14"/>
      <c r="J5" s="14"/>
      <c r="K5" s="14"/>
      <c r="L5" s="14">
        <v>611888</v>
      </c>
      <c r="M5" s="14">
        <v>610198</v>
      </c>
      <c r="N5" s="12">
        <v>609000</v>
      </c>
      <c r="O5" s="12">
        <v>606000</v>
      </c>
      <c r="P5" s="12">
        <v>603000</v>
      </c>
      <c r="Q5" s="12">
        <v>599000</v>
      </c>
      <c r="R5" s="12">
        <v>595000</v>
      </c>
      <c r="S5" s="12">
        <v>591000</v>
      </c>
      <c r="T5" s="12">
        <v>587000</v>
      </c>
      <c r="U5" s="12">
        <v>583000</v>
      </c>
      <c r="V5" s="12">
        <v>578000</v>
      </c>
      <c r="W5" s="12">
        <v>574000</v>
      </c>
      <c r="X5" s="12">
        <v>570000</v>
      </c>
      <c r="Y5" s="12">
        <v>566000</v>
      </c>
      <c r="Z5" s="12">
        <v>562000</v>
      </c>
      <c r="AA5" s="12">
        <v>558000</v>
      </c>
      <c r="AB5" s="12">
        <v>555000</v>
      </c>
      <c r="AC5" s="12">
        <v>551000</v>
      </c>
      <c r="AD5" s="12">
        <v>547000</v>
      </c>
      <c r="AE5" s="12">
        <v>544000</v>
      </c>
      <c r="AF5" s="12">
        <v>541000</v>
      </c>
      <c r="AG5" s="12">
        <v>538000</v>
      </c>
      <c r="AH5" s="12">
        <v>535000</v>
      </c>
      <c r="AI5" s="12">
        <v>533000</v>
      </c>
      <c r="AJ5" s="12">
        <v>531000</v>
      </c>
      <c r="AK5" s="12">
        <v>529000</v>
      </c>
      <c r="AL5" s="12">
        <v>527000</v>
      </c>
      <c r="AM5" s="12">
        <v>524000</v>
      </c>
      <c r="AN5" s="12">
        <v>522000</v>
      </c>
      <c r="AO5" s="12">
        <v>519000</v>
      </c>
    </row>
    <row r="6" spans="2:41" hidden="1" x14ac:dyDescent="0.25">
      <c r="B6" s="4">
        <v>2</v>
      </c>
      <c r="C6" s="4" t="s">
        <v>78</v>
      </c>
      <c r="D6" s="4">
        <v>735612</v>
      </c>
      <c r="E6" s="4">
        <v>736560</v>
      </c>
      <c r="F6" s="4">
        <v>744420</v>
      </c>
      <c r="G6" s="4">
        <v>734369</v>
      </c>
      <c r="H6" s="4">
        <v>738942</v>
      </c>
      <c r="I6" s="14">
        <v>738587</v>
      </c>
      <c r="J6" s="13">
        <v>736735</v>
      </c>
      <c r="K6" s="14">
        <v>735566</v>
      </c>
      <c r="L6" s="13">
        <v>785708</v>
      </c>
      <c r="M6" s="14">
        <v>788013</v>
      </c>
      <c r="N6" s="12">
        <v>785000</v>
      </c>
      <c r="O6" s="12">
        <v>784000</v>
      </c>
      <c r="P6" s="12">
        <v>783000</v>
      </c>
      <c r="Q6" s="12">
        <v>781000</v>
      </c>
      <c r="R6" s="12">
        <v>778000</v>
      </c>
      <c r="S6" s="12">
        <v>776000</v>
      </c>
      <c r="T6" s="12">
        <v>773000</v>
      </c>
      <c r="U6" s="12">
        <v>770000</v>
      </c>
      <c r="V6" s="12">
        <v>766000</v>
      </c>
      <c r="W6" s="12">
        <v>763000</v>
      </c>
      <c r="X6" s="12">
        <v>760000</v>
      </c>
      <c r="Y6" s="12">
        <v>757000</v>
      </c>
      <c r="Z6" s="12">
        <v>754000</v>
      </c>
      <c r="AA6" s="12">
        <v>751000</v>
      </c>
      <c r="AB6" s="12">
        <v>748000</v>
      </c>
      <c r="AC6" s="12">
        <v>745000</v>
      </c>
      <c r="AD6" s="12">
        <v>742000</v>
      </c>
      <c r="AE6" s="12">
        <v>739000</v>
      </c>
      <c r="AF6" s="12">
        <v>736000</v>
      </c>
      <c r="AG6" s="12">
        <v>733000</v>
      </c>
      <c r="AH6" s="12">
        <v>730000</v>
      </c>
      <c r="AI6" s="12">
        <v>727000</v>
      </c>
      <c r="AJ6" s="12">
        <v>724000</v>
      </c>
      <c r="AK6" s="12">
        <v>721000</v>
      </c>
      <c r="AL6" s="12">
        <v>718000</v>
      </c>
      <c r="AM6" s="12">
        <v>714000</v>
      </c>
      <c r="AN6" s="12">
        <v>710000</v>
      </c>
      <c r="AO6" s="12">
        <v>706000</v>
      </c>
    </row>
    <row r="7" spans="2:41" hidden="1" x14ac:dyDescent="0.25">
      <c r="B7" s="4">
        <v>3</v>
      </c>
      <c r="C7" s="4" t="s">
        <v>79</v>
      </c>
      <c r="D7" s="4">
        <v>808985</v>
      </c>
      <c r="E7" s="4">
        <v>822557</v>
      </c>
      <c r="F7" s="4">
        <v>834808</v>
      </c>
      <c r="G7" s="4">
        <v>845679</v>
      </c>
      <c r="H7" s="4">
        <v>857711</v>
      </c>
      <c r="I7" s="14">
        <v>869637</v>
      </c>
      <c r="J7" s="13">
        <v>881651</v>
      </c>
      <c r="K7" s="14">
        <v>894333</v>
      </c>
      <c r="L7" s="13">
        <v>916750</v>
      </c>
      <c r="M7" s="14">
        <v>928159</v>
      </c>
      <c r="N7" s="12">
        <v>934000</v>
      </c>
      <c r="O7" s="12">
        <v>945000</v>
      </c>
      <c r="P7" s="12">
        <v>956000</v>
      </c>
      <c r="Q7" s="12">
        <v>966000</v>
      </c>
      <c r="R7" s="12">
        <v>975000</v>
      </c>
      <c r="S7" s="12">
        <v>984000</v>
      </c>
      <c r="T7" s="12">
        <v>993000</v>
      </c>
      <c r="U7" s="12">
        <v>1002000</v>
      </c>
      <c r="V7" s="12">
        <v>1011000</v>
      </c>
      <c r="W7" s="12">
        <v>1021000</v>
      </c>
      <c r="X7" s="12">
        <v>1030000</v>
      </c>
      <c r="Y7" s="12">
        <v>1040000</v>
      </c>
      <c r="Z7" s="12">
        <v>1051000</v>
      </c>
      <c r="AA7" s="12">
        <v>1062000</v>
      </c>
      <c r="AB7" s="12">
        <v>1073000</v>
      </c>
      <c r="AC7" s="12">
        <v>1084000</v>
      </c>
      <c r="AD7" s="12">
        <v>1096000</v>
      </c>
      <c r="AE7" s="12">
        <v>1108000</v>
      </c>
      <c r="AF7" s="12">
        <v>1121000</v>
      </c>
      <c r="AG7" s="12">
        <v>1134000</v>
      </c>
      <c r="AH7" s="12">
        <v>1148000</v>
      </c>
      <c r="AI7" s="12">
        <v>1162000</v>
      </c>
      <c r="AJ7" s="12">
        <v>1177000</v>
      </c>
      <c r="AK7" s="12">
        <v>1192000</v>
      </c>
      <c r="AL7" s="12">
        <v>1206000</v>
      </c>
      <c r="AM7" s="12">
        <v>1221000</v>
      </c>
      <c r="AN7" s="12">
        <v>1235000</v>
      </c>
      <c r="AO7" s="12">
        <v>1249000</v>
      </c>
    </row>
    <row r="8" spans="2:41" hidden="1" x14ac:dyDescent="0.25">
      <c r="B8" s="4">
        <v>4</v>
      </c>
      <c r="C8" s="4" t="s">
        <v>80</v>
      </c>
      <c r="D8" s="4">
        <v>1984572</v>
      </c>
      <c r="E8" s="4">
        <v>1921888</v>
      </c>
      <c r="F8" s="4">
        <v>1947552</v>
      </c>
      <c r="G8" s="4">
        <v>1983465</v>
      </c>
      <c r="H8" s="4">
        <v>2017278</v>
      </c>
      <c r="I8" s="14">
        <v>2038935</v>
      </c>
      <c r="J8" s="13">
        <v>2055724</v>
      </c>
      <c r="K8" s="14">
        <v>2077967</v>
      </c>
      <c r="L8" s="13">
        <v>1478496</v>
      </c>
      <c r="M8" s="14">
        <v>1505896</v>
      </c>
      <c r="N8" s="12">
        <v>1517000</v>
      </c>
      <c r="O8" s="12">
        <v>1541000</v>
      </c>
      <c r="P8" s="12">
        <v>1564000</v>
      </c>
      <c r="Q8" s="12">
        <v>1587000</v>
      </c>
      <c r="R8" s="12">
        <v>1609000</v>
      </c>
      <c r="S8" s="12">
        <v>1632000</v>
      </c>
      <c r="T8" s="12">
        <v>1654000</v>
      </c>
      <c r="U8" s="12">
        <v>1678000</v>
      </c>
      <c r="V8" s="12">
        <v>1702000</v>
      </c>
      <c r="W8" s="12">
        <v>1727000</v>
      </c>
      <c r="X8" s="12">
        <v>1753000</v>
      </c>
      <c r="Y8" s="12">
        <v>1780000</v>
      </c>
      <c r="Z8" s="12">
        <v>1807000</v>
      </c>
      <c r="AA8" s="12">
        <v>1836000</v>
      </c>
      <c r="AB8" s="12">
        <v>1866000</v>
      </c>
      <c r="AC8" s="12">
        <v>1897000</v>
      </c>
      <c r="AD8" s="12">
        <v>1928000</v>
      </c>
      <c r="AE8" s="12">
        <v>1959000</v>
      </c>
      <c r="AF8" s="12">
        <v>1991000</v>
      </c>
      <c r="AG8" s="12">
        <v>2024000</v>
      </c>
      <c r="AH8" s="12">
        <v>2057000</v>
      </c>
      <c r="AI8" s="12">
        <v>2090000</v>
      </c>
      <c r="AJ8" s="12">
        <v>2123000</v>
      </c>
      <c r="AK8" s="12">
        <v>2157000</v>
      </c>
      <c r="AL8" s="12">
        <v>2191000</v>
      </c>
      <c r="AM8" s="12">
        <v>2224000</v>
      </c>
      <c r="AN8" s="12">
        <v>2258000</v>
      </c>
      <c r="AO8" s="12">
        <v>2291000</v>
      </c>
    </row>
    <row r="9" spans="2:41" hidden="1" x14ac:dyDescent="0.25">
      <c r="B9" s="4">
        <v>5</v>
      </c>
      <c r="C9" s="4" t="s">
        <v>81</v>
      </c>
      <c r="D9" s="4">
        <v>567831</v>
      </c>
      <c r="E9" s="4">
        <v>581389</v>
      </c>
      <c r="F9" s="4">
        <v>594511</v>
      </c>
      <c r="G9" s="4">
        <v>607528</v>
      </c>
      <c r="H9" s="4">
        <v>620684</v>
      </c>
      <c r="I9" s="14">
        <v>633791</v>
      </c>
      <c r="J9" s="13">
        <v>645280</v>
      </c>
      <c r="K9" s="14">
        <v>657110</v>
      </c>
      <c r="L9" s="13">
        <v>681241</v>
      </c>
      <c r="M9" s="14">
        <v>693079</v>
      </c>
      <c r="N9" s="12">
        <v>697000</v>
      </c>
      <c r="O9" s="12">
        <v>707000</v>
      </c>
      <c r="P9" s="12">
        <v>717000</v>
      </c>
      <c r="Q9" s="12">
        <v>727000</v>
      </c>
      <c r="R9" s="12">
        <v>736000</v>
      </c>
      <c r="S9" s="12">
        <v>746000</v>
      </c>
      <c r="T9" s="12">
        <v>755000</v>
      </c>
      <c r="U9" s="12">
        <v>765000</v>
      </c>
      <c r="V9" s="12">
        <v>774000</v>
      </c>
      <c r="W9" s="12">
        <v>785000</v>
      </c>
      <c r="X9" s="12">
        <v>795000</v>
      </c>
      <c r="Y9" s="12">
        <v>806000</v>
      </c>
      <c r="Z9" s="12">
        <v>818000</v>
      </c>
      <c r="AA9" s="12">
        <v>830000</v>
      </c>
      <c r="AB9" s="12">
        <v>842000</v>
      </c>
      <c r="AC9" s="12">
        <v>855000</v>
      </c>
      <c r="AD9" s="12">
        <v>868000</v>
      </c>
      <c r="AE9" s="12">
        <v>882000</v>
      </c>
      <c r="AF9" s="12">
        <v>896000</v>
      </c>
      <c r="AG9" s="12">
        <v>911000</v>
      </c>
      <c r="AH9" s="12">
        <v>926000</v>
      </c>
      <c r="AI9" s="12">
        <v>941000</v>
      </c>
      <c r="AJ9" s="12">
        <v>957000</v>
      </c>
      <c r="AK9" s="12">
        <v>973000</v>
      </c>
      <c r="AL9" s="12">
        <v>989000</v>
      </c>
      <c r="AM9" s="12">
        <v>1005000</v>
      </c>
      <c r="AN9" s="12">
        <v>1021000</v>
      </c>
      <c r="AO9" s="12">
        <v>1037000</v>
      </c>
    </row>
    <row r="10" spans="2:41" hidden="1" x14ac:dyDescent="0.25">
      <c r="B10" s="4">
        <v>6</v>
      </c>
      <c r="C10" s="4" t="s">
        <v>82</v>
      </c>
      <c r="D10" s="4">
        <v>1394388</v>
      </c>
      <c r="E10" s="4">
        <v>1395466</v>
      </c>
      <c r="F10" s="4">
        <v>1396019</v>
      </c>
      <c r="G10" s="4">
        <v>1389568</v>
      </c>
      <c r="H10" s="4">
        <v>1383745</v>
      </c>
      <c r="I10" s="47">
        <v>1378527</v>
      </c>
      <c r="J10" s="13">
        <v>1369597</v>
      </c>
      <c r="K10" s="14">
        <v>1363797</v>
      </c>
      <c r="L10" s="13">
        <v>732966</v>
      </c>
      <c r="M10" s="14">
        <v>730238</v>
      </c>
      <c r="N10" s="12">
        <v>729000</v>
      </c>
      <c r="O10" s="12">
        <v>726000</v>
      </c>
      <c r="P10" s="12">
        <v>723000</v>
      </c>
      <c r="Q10" s="12">
        <v>719000</v>
      </c>
      <c r="R10" s="12">
        <v>715000</v>
      </c>
      <c r="S10" s="12">
        <v>710000</v>
      </c>
      <c r="T10" s="12">
        <v>705000</v>
      </c>
      <c r="U10" s="12">
        <v>700000</v>
      </c>
      <c r="V10" s="12">
        <v>695000</v>
      </c>
      <c r="W10" s="12">
        <v>690000</v>
      </c>
      <c r="X10" s="12">
        <v>685000</v>
      </c>
      <c r="Y10" s="12">
        <v>680000</v>
      </c>
      <c r="Z10" s="12">
        <v>675000</v>
      </c>
      <c r="AA10" s="12">
        <v>670000</v>
      </c>
      <c r="AB10" s="12">
        <v>665000</v>
      </c>
      <c r="AC10" s="12">
        <v>661000</v>
      </c>
      <c r="AD10" s="12">
        <v>656000</v>
      </c>
      <c r="AE10" s="12">
        <v>651000</v>
      </c>
      <c r="AF10" s="12">
        <v>647000</v>
      </c>
      <c r="AG10" s="12">
        <v>642000</v>
      </c>
      <c r="AH10" s="12">
        <v>638000</v>
      </c>
      <c r="AI10" s="12">
        <v>635000</v>
      </c>
      <c r="AJ10" s="12">
        <v>631000</v>
      </c>
      <c r="AK10" s="12">
        <v>628000</v>
      </c>
      <c r="AL10" s="12">
        <v>624000</v>
      </c>
      <c r="AM10" s="12">
        <v>620000</v>
      </c>
      <c r="AN10" s="12">
        <v>616000</v>
      </c>
      <c r="AO10" s="12">
        <v>612000</v>
      </c>
    </row>
    <row r="11" spans="2:41" hidden="1" x14ac:dyDescent="0.25">
      <c r="B11" s="4">
        <v>7</v>
      </c>
      <c r="C11" s="4" t="s">
        <v>83</v>
      </c>
      <c r="D11" s="4">
        <v>1084369</v>
      </c>
      <c r="E11" s="4">
        <v>1098489</v>
      </c>
      <c r="F11" s="4">
        <v>1110749</v>
      </c>
      <c r="G11" s="4">
        <v>1115307</v>
      </c>
      <c r="H11" s="4">
        <v>1117218</v>
      </c>
      <c r="I11" s="13">
        <v>1125440</v>
      </c>
      <c r="J11" s="105">
        <v>1130099</v>
      </c>
      <c r="K11" s="14">
        <v>1139192</v>
      </c>
      <c r="L11" s="13">
        <v>1209665</v>
      </c>
      <c r="M11" s="14">
        <v>1218158</v>
      </c>
      <c r="N11" s="12">
        <v>1232000</v>
      </c>
      <c r="O11" s="12">
        <v>1246000</v>
      </c>
      <c r="P11" s="12">
        <v>1261000</v>
      </c>
      <c r="Q11" s="12">
        <v>1276000</v>
      </c>
      <c r="R11" s="12">
        <v>1291000</v>
      </c>
      <c r="S11" s="12">
        <v>1307000</v>
      </c>
      <c r="T11" s="12">
        <v>1324000</v>
      </c>
      <c r="U11" s="12">
        <v>1342000</v>
      </c>
      <c r="V11" s="12">
        <v>1362000</v>
      </c>
      <c r="W11" s="12">
        <v>1382000</v>
      </c>
      <c r="X11" s="12">
        <v>1404000</v>
      </c>
      <c r="Y11" s="12">
        <v>1427000</v>
      </c>
      <c r="Z11" s="12">
        <v>1450000</v>
      </c>
      <c r="AA11" s="12">
        <v>1475000</v>
      </c>
      <c r="AB11" s="12">
        <v>1500000</v>
      </c>
      <c r="AC11" s="12">
        <v>1526000</v>
      </c>
      <c r="AD11" s="12">
        <v>1552000</v>
      </c>
      <c r="AE11" s="12">
        <v>1579000</v>
      </c>
      <c r="AF11" s="12">
        <v>1606000</v>
      </c>
      <c r="AG11" s="12">
        <v>1634000</v>
      </c>
      <c r="AH11" s="12">
        <v>1662000</v>
      </c>
      <c r="AI11" s="12">
        <v>1691000</v>
      </c>
      <c r="AJ11" s="12">
        <v>1721000</v>
      </c>
      <c r="AK11" s="12">
        <v>1751000</v>
      </c>
      <c r="AL11" s="12">
        <v>1781000</v>
      </c>
      <c r="AM11" s="12">
        <v>1812000</v>
      </c>
      <c r="AN11" s="12">
        <v>1842000</v>
      </c>
      <c r="AO11" s="12">
        <v>1874000</v>
      </c>
    </row>
    <row r="12" spans="2:41" hidden="1" x14ac:dyDescent="0.25">
      <c r="B12" s="4">
        <v>8</v>
      </c>
      <c r="C12" s="4" t="s">
        <v>84</v>
      </c>
      <c r="D12" s="4"/>
      <c r="E12" s="4"/>
      <c r="F12" s="4"/>
      <c r="G12" s="4"/>
      <c r="H12" s="4"/>
      <c r="I12" s="14"/>
      <c r="J12" s="14"/>
      <c r="K12" s="14"/>
      <c r="L12" s="14">
        <v>698757</v>
      </c>
      <c r="M12" s="14">
        <v>698726</v>
      </c>
      <c r="N12" s="12">
        <v>722000</v>
      </c>
      <c r="O12" s="12">
        <v>738000</v>
      </c>
      <c r="P12" s="12">
        <v>753000</v>
      </c>
      <c r="Q12" s="12">
        <v>767000</v>
      </c>
      <c r="R12" s="12">
        <v>782000</v>
      </c>
      <c r="S12" s="12">
        <v>797000</v>
      </c>
      <c r="T12" s="12">
        <v>812000</v>
      </c>
      <c r="U12" s="12">
        <v>828000</v>
      </c>
      <c r="V12" s="12">
        <v>844000</v>
      </c>
      <c r="W12" s="12">
        <v>861000</v>
      </c>
      <c r="X12" s="12">
        <v>878000</v>
      </c>
      <c r="Y12" s="12">
        <v>895000</v>
      </c>
      <c r="Z12" s="12">
        <v>913000</v>
      </c>
      <c r="AA12" s="12">
        <v>931000</v>
      </c>
      <c r="AB12" s="12">
        <v>950000</v>
      </c>
      <c r="AC12" s="12">
        <v>969000</v>
      </c>
      <c r="AD12" s="12">
        <v>988000</v>
      </c>
      <c r="AE12" s="12">
        <v>1008000</v>
      </c>
      <c r="AF12" s="12">
        <v>1028000</v>
      </c>
      <c r="AG12" s="12">
        <v>1048000</v>
      </c>
      <c r="AH12" s="12">
        <v>1069000</v>
      </c>
      <c r="AI12" s="12">
        <v>1090000</v>
      </c>
      <c r="AJ12" s="12">
        <v>1111000</v>
      </c>
      <c r="AK12" s="12">
        <v>1133000</v>
      </c>
      <c r="AL12" s="12">
        <v>1154000</v>
      </c>
      <c r="AM12" s="12">
        <v>1176000</v>
      </c>
      <c r="AN12" s="12">
        <v>1198000</v>
      </c>
      <c r="AO12" s="12">
        <v>1219000</v>
      </c>
    </row>
    <row r="13" spans="2:41" hidden="1" x14ac:dyDescent="0.25">
      <c r="B13" s="4">
        <v>9</v>
      </c>
      <c r="C13" s="4" t="s">
        <v>85</v>
      </c>
      <c r="D13" s="4">
        <v>624085</v>
      </c>
      <c r="E13" s="4">
        <v>630056</v>
      </c>
      <c r="F13" s="4">
        <v>636980</v>
      </c>
      <c r="G13" s="4">
        <v>641513</v>
      </c>
      <c r="H13" s="4">
        <v>646927</v>
      </c>
      <c r="I13" s="47">
        <v>652325</v>
      </c>
      <c r="J13" s="106">
        <v>656844</v>
      </c>
      <c r="K13" s="14">
        <v>661316</v>
      </c>
      <c r="L13" s="13">
        <v>683327</v>
      </c>
      <c r="M13" s="14">
        <v>688127</v>
      </c>
      <c r="N13" s="12">
        <v>691000</v>
      </c>
      <c r="O13" s="12">
        <v>696000</v>
      </c>
      <c r="P13" s="12">
        <v>700000</v>
      </c>
      <c r="Q13" s="12">
        <v>704000</v>
      </c>
      <c r="R13" s="12">
        <v>708000</v>
      </c>
      <c r="S13" s="12">
        <v>711000</v>
      </c>
      <c r="T13" s="12">
        <v>714000</v>
      </c>
      <c r="U13" s="12">
        <v>717000</v>
      </c>
      <c r="V13" s="12">
        <v>720000</v>
      </c>
      <c r="W13" s="12">
        <v>722000</v>
      </c>
      <c r="X13" s="12">
        <v>725000</v>
      </c>
      <c r="Y13" s="12">
        <v>728000</v>
      </c>
      <c r="Z13" s="12">
        <v>732000</v>
      </c>
      <c r="AA13" s="12">
        <v>735000</v>
      </c>
      <c r="AB13" s="12">
        <v>738000</v>
      </c>
      <c r="AC13" s="12">
        <v>742000</v>
      </c>
      <c r="AD13" s="12">
        <v>745000</v>
      </c>
      <c r="AE13" s="12">
        <v>749000</v>
      </c>
      <c r="AF13" s="12">
        <v>753000</v>
      </c>
      <c r="AG13" s="12">
        <v>757000</v>
      </c>
      <c r="AH13" s="12">
        <v>762000</v>
      </c>
      <c r="AI13" s="12">
        <v>767000</v>
      </c>
      <c r="AJ13" s="12">
        <v>772000</v>
      </c>
      <c r="AK13" s="12">
        <v>778000</v>
      </c>
      <c r="AL13" s="12">
        <v>783000</v>
      </c>
      <c r="AM13" s="12">
        <v>788000</v>
      </c>
      <c r="AN13" s="12">
        <v>793000</v>
      </c>
      <c r="AO13" s="12">
        <v>798000</v>
      </c>
    </row>
    <row r="14" spans="2:41" hidden="1" x14ac:dyDescent="0.25">
      <c r="B14" s="4">
        <v>10</v>
      </c>
      <c r="C14" s="4" t="s">
        <v>86</v>
      </c>
      <c r="D14" s="4">
        <v>1369658</v>
      </c>
      <c r="E14" s="4">
        <v>1378121</v>
      </c>
      <c r="F14" s="4">
        <v>1384810</v>
      </c>
      <c r="G14" s="4">
        <v>1382734</v>
      </c>
      <c r="H14" s="4">
        <v>1380537</v>
      </c>
      <c r="I14" s="13">
        <v>1378532</v>
      </c>
      <c r="J14" s="13">
        <v>1376882</v>
      </c>
      <c r="K14" s="14">
        <v>1375938</v>
      </c>
      <c r="L14" s="13">
        <v>1134966</v>
      </c>
      <c r="M14" s="14">
        <v>1134855</v>
      </c>
      <c r="N14" s="12">
        <v>1134000</v>
      </c>
      <c r="O14" s="12">
        <v>1133000</v>
      </c>
      <c r="P14" s="12">
        <v>1131000</v>
      </c>
      <c r="Q14" s="12">
        <v>1128000</v>
      </c>
      <c r="R14" s="12">
        <v>1125000</v>
      </c>
      <c r="S14" s="12">
        <v>1121000</v>
      </c>
      <c r="T14" s="12">
        <v>1117000</v>
      </c>
      <c r="U14" s="12">
        <v>1112000</v>
      </c>
      <c r="V14" s="12">
        <v>1108000</v>
      </c>
      <c r="W14" s="12">
        <v>1104000</v>
      </c>
      <c r="X14" s="12">
        <v>1099000</v>
      </c>
      <c r="Y14" s="12">
        <v>1095000</v>
      </c>
      <c r="Z14" s="12">
        <v>1091000</v>
      </c>
      <c r="AA14" s="12">
        <v>1087000</v>
      </c>
      <c r="AB14" s="12">
        <v>1083000</v>
      </c>
      <c r="AC14" s="12">
        <v>1079000</v>
      </c>
      <c r="AD14" s="12">
        <v>1075000</v>
      </c>
      <c r="AE14" s="12">
        <v>1070000</v>
      </c>
      <c r="AF14" s="12">
        <v>1066000</v>
      </c>
      <c r="AG14" s="12">
        <v>1063000</v>
      </c>
      <c r="AH14" s="12">
        <v>1059000</v>
      </c>
      <c r="AI14" s="12">
        <v>1056000</v>
      </c>
      <c r="AJ14" s="12">
        <v>1054000</v>
      </c>
      <c r="AK14" s="12">
        <v>1051000</v>
      </c>
      <c r="AL14" s="12">
        <v>1047000</v>
      </c>
      <c r="AM14" s="12">
        <v>1044000</v>
      </c>
      <c r="AN14" s="12">
        <v>1040000</v>
      </c>
      <c r="AO14" s="12">
        <v>1036000</v>
      </c>
    </row>
    <row r="15" spans="2:41" hidden="1" x14ac:dyDescent="0.25">
      <c r="B15" s="4">
        <v>11</v>
      </c>
      <c r="C15" s="4" t="s">
        <v>87</v>
      </c>
      <c r="D15" s="4">
        <v>880968</v>
      </c>
      <c r="E15" s="4">
        <v>881569</v>
      </c>
      <c r="F15" s="4">
        <v>883806</v>
      </c>
      <c r="G15" s="4">
        <v>879134</v>
      </c>
      <c r="H15" s="4">
        <v>875616</v>
      </c>
      <c r="I15" s="13">
        <v>872795</v>
      </c>
      <c r="J15" s="13">
        <v>868549</v>
      </c>
      <c r="K15" s="14">
        <v>864550</v>
      </c>
      <c r="L15" s="13">
        <v>835686</v>
      </c>
      <c r="M15" s="14">
        <v>832234</v>
      </c>
      <c r="N15" s="12">
        <v>831000</v>
      </c>
      <c r="O15" s="12">
        <v>827000</v>
      </c>
      <c r="P15" s="12">
        <v>823000</v>
      </c>
      <c r="Q15" s="12">
        <v>818000</v>
      </c>
      <c r="R15" s="12">
        <v>812000</v>
      </c>
      <c r="S15" s="12">
        <v>807000</v>
      </c>
      <c r="T15" s="12">
        <v>801000</v>
      </c>
      <c r="U15" s="12">
        <v>794000</v>
      </c>
      <c r="V15" s="12">
        <v>788000</v>
      </c>
      <c r="W15" s="12">
        <v>781000</v>
      </c>
      <c r="X15" s="12">
        <v>775000</v>
      </c>
      <c r="Y15" s="12">
        <v>768000</v>
      </c>
      <c r="Z15" s="12">
        <v>761000</v>
      </c>
      <c r="AA15" s="12">
        <v>754000</v>
      </c>
      <c r="AB15" s="12">
        <v>747000</v>
      </c>
      <c r="AC15" s="12">
        <v>739000</v>
      </c>
      <c r="AD15" s="12">
        <v>732000</v>
      </c>
      <c r="AE15" s="12">
        <v>724000</v>
      </c>
      <c r="AF15" s="12">
        <v>717000</v>
      </c>
      <c r="AG15" s="12">
        <v>710000</v>
      </c>
      <c r="AH15" s="12">
        <v>703000</v>
      </c>
      <c r="AI15" s="12">
        <v>696000</v>
      </c>
      <c r="AJ15" s="12">
        <v>689000</v>
      </c>
      <c r="AK15" s="12">
        <v>682000</v>
      </c>
      <c r="AL15" s="12">
        <v>675000</v>
      </c>
      <c r="AM15" s="12">
        <v>668000</v>
      </c>
      <c r="AN15" s="12">
        <v>661000</v>
      </c>
      <c r="AO15" s="12">
        <v>653000</v>
      </c>
    </row>
    <row r="16" spans="2:41" hidden="1" x14ac:dyDescent="0.25">
      <c r="B16" s="4">
        <v>12</v>
      </c>
      <c r="C16" s="4" t="s">
        <v>88</v>
      </c>
      <c r="D16" s="4">
        <v>739726</v>
      </c>
      <c r="E16" s="4">
        <v>753001</v>
      </c>
      <c r="F16" s="4">
        <v>765058</v>
      </c>
      <c r="G16" s="4">
        <v>773143</v>
      </c>
      <c r="H16" s="4">
        <v>783157</v>
      </c>
      <c r="I16" s="13">
        <v>794335</v>
      </c>
      <c r="J16" s="13">
        <v>803531</v>
      </c>
      <c r="K16" s="14">
        <v>814588</v>
      </c>
      <c r="L16" s="13">
        <v>823251</v>
      </c>
      <c r="M16" s="14">
        <v>833666</v>
      </c>
      <c r="N16" s="12">
        <v>838000</v>
      </c>
      <c r="O16" s="12">
        <v>847000</v>
      </c>
      <c r="P16" s="12">
        <v>855000</v>
      </c>
      <c r="Q16" s="12">
        <v>864000</v>
      </c>
      <c r="R16" s="12">
        <v>872000</v>
      </c>
      <c r="S16" s="12">
        <v>880000</v>
      </c>
      <c r="T16" s="12">
        <v>888000</v>
      </c>
      <c r="U16" s="12">
        <v>897000</v>
      </c>
      <c r="V16" s="12">
        <v>906000</v>
      </c>
      <c r="W16" s="12">
        <v>915000</v>
      </c>
      <c r="X16" s="12">
        <v>925000</v>
      </c>
      <c r="Y16" s="12">
        <v>936000</v>
      </c>
      <c r="Z16" s="12">
        <v>947000</v>
      </c>
      <c r="AA16" s="12">
        <v>958000</v>
      </c>
      <c r="AB16" s="12">
        <v>970000</v>
      </c>
      <c r="AC16" s="12">
        <v>982000</v>
      </c>
      <c r="AD16" s="12">
        <v>995000</v>
      </c>
      <c r="AE16" s="12">
        <v>1008000</v>
      </c>
      <c r="AF16" s="12">
        <v>1022000</v>
      </c>
      <c r="AG16" s="12">
        <v>1036000</v>
      </c>
      <c r="AH16" s="12">
        <v>1050000</v>
      </c>
      <c r="AI16" s="12">
        <v>1065000</v>
      </c>
      <c r="AJ16" s="12">
        <v>1080000</v>
      </c>
      <c r="AK16" s="12">
        <v>1096000</v>
      </c>
      <c r="AL16" s="12">
        <v>1111000</v>
      </c>
      <c r="AM16" s="12">
        <v>1126000</v>
      </c>
      <c r="AN16" s="12">
        <v>1141000</v>
      </c>
      <c r="AO16" s="12">
        <v>1156000</v>
      </c>
    </row>
    <row r="17" spans="2:41" hidden="1" x14ac:dyDescent="0.25">
      <c r="B17" s="4">
        <v>13</v>
      </c>
      <c r="C17" s="4" t="s">
        <v>89</v>
      </c>
      <c r="D17" s="4">
        <v>587431</v>
      </c>
      <c r="E17" s="4">
        <v>606843</v>
      </c>
      <c r="F17" s="4">
        <v>626774</v>
      </c>
      <c r="G17" s="4">
        <v>642824</v>
      </c>
      <c r="H17" s="4">
        <v>660317</v>
      </c>
      <c r="I17" s="13">
        <v>678199</v>
      </c>
      <c r="J17" s="13">
        <v>698796</v>
      </c>
      <c r="K17" s="14">
        <v>719571</v>
      </c>
      <c r="L17" s="13">
        <v>745909</v>
      </c>
      <c r="M17" s="14">
        <v>767106</v>
      </c>
      <c r="N17" s="12">
        <v>775000</v>
      </c>
      <c r="O17" s="12">
        <v>795000</v>
      </c>
      <c r="P17" s="12">
        <v>814000</v>
      </c>
      <c r="Q17" s="12">
        <v>833000</v>
      </c>
      <c r="R17" s="12">
        <v>853000</v>
      </c>
      <c r="S17" s="12">
        <v>873000</v>
      </c>
      <c r="T17" s="12">
        <v>893000</v>
      </c>
      <c r="U17" s="12">
        <v>913000</v>
      </c>
      <c r="V17" s="12">
        <v>934000</v>
      </c>
      <c r="W17" s="12">
        <v>956000</v>
      </c>
      <c r="X17" s="12">
        <v>979000</v>
      </c>
      <c r="Y17" s="12">
        <v>1002000</v>
      </c>
      <c r="Z17" s="12">
        <v>1027000</v>
      </c>
      <c r="AA17" s="12">
        <v>1052000</v>
      </c>
      <c r="AB17" s="12">
        <v>1078000</v>
      </c>
      <c r="AC17" s="12">
        <v>1105000</v>
      </c>
      <c r="AD17" s="12">
        <v>1132000</v>
      </c>
      <c r="AE17" s="12">
        <v>1161000</v>
      </c>
      <c r="AF17" s="12">
        <v>1190000</v>
      </c>
      <c r="AG17" s="12">
        <v>1220000</v>
      </c>
      <c r="AH17" s="12">
        <v>1250000</v>
      </c>
      <c r="AI17" s="12">
        <v>1282000</v>
      </c>
      <c r="AJ17" s="12">
        <v>1314000</v>
      </c>
      <c r="AK17" s="12">
        <v>1346000</v>
      </c>
      <c r="AL17" s="12">
        <v>1379000</v>
      </c>
      <c r="AM17" s="12">
        <v>1412000</v>
      </c>
      <c r="AN17" s="12">
        <v>1445000</v>
      </c>
      <c r="AO17" s="12">
        <v>1479000</v>
      </c>
    </row>
    <row r="18" spans="2:41" hidden="1" x14ac:dyDescent="0.25">
      <c r="B18" s="4">
        <v>14</v>
      </c>
      <c r="C18" s="4" t="s">
        <v>90</v>
      </c>
      <c r="D18" s="4">
        <v>752914</v>
      </c>
      <c r="E18" s="4">
        <v>755793</v>
      </c>
      <c r="F18" s="4">
        <v>758594</v>
      </c>
      <c r="G18" s="4">
        <v>757014</v>
      </c>
      <c r="H18" s="4">
        <v>754854</v>
      </c>
      <c r="I18" s="13">
        <v>753853</v>
      </c>
      <c r="J18" s="13">
        <v>752169</v>
      </c>
      <c r="K18" s="14">
        <v>751012</v>
      </c>
      <c r="L18" s="13">
        <v>756511</v>
      </c>
      <c r="M18" s="14">
        <v>754944</v>
      </c>
      <c r="N18" s="12">
        <v>755000</v>
      </c>
      <c r="O18" s="12">
        <v>753000</v>
      </c>
      <c r="P18" s="12">
        <v>750000</v>
      </c>
      <c r="Q18" s="12">
        <v>748000</v>
      </c>
      <c r="R18" s="12">
        <v>744000</v>
      </c>
      <c r="S18" s="12">
        <v>741000</v>
      </c>
      <c r="T18" s="12">
        <v>737000</v>
      </c>
      <c r="U18" s="12">
        <v>733000</v>
      </c>
      <c r="V18" s="12">
        <v>729000</v>
      </c>
      <c r="W18" s="12">
        <v>725000</v>
      </c>
      <c r="X18" s="12">
        <v>721000</v>
      </c>
      <c r="Y18" s="12">
        <v>717000</v>
      </c>
      <c r="Z18" s="12">
        <v>713000</v>
      </c>
      <c r="AA18" s="12">
        <v>709000</v>
      </c>
      <c r="AB18" s="12">
        <v>705000</v>
      </c>
      <c r="AC18" s="12">
        <v>701000</v>
      </c>
      <c r="AD18" s="12">
        <v>697000</v>
      </c>
      <c r="AE18" s="12">
        <v>693000</v>
      </c>
      <c r="AF18" s="12">
        <v>689000</v>
      </c>
      <c r="AG18" s="12">
        <v>685000</v>
      </c>
      <c r="AH18" s="12">
        <v>681000</v>
      </c>
      <c r="AI18" s="12">
        <v>678000</v>
      </c>
      <c r="AJ18" s="12">
        <v>675000</v>
      </c>
      <c r="AK18" s="12">
        <v>671000</v>
      </c>
      <c r="AL18" s="12">
        <v>668000</v>
      </c>
      <c r="AM18" s="12">
        <v>664000</v>
      </c>
      <c r="AN18" s="12">
        <v>660000</v>
      </c>
      <c r="AO18" s="12">
        <v>656000</v>
      </c>
    </row>
    <row r="19" spans="2:41" hidden="1" x14ac:dyDescent="0.25">
      <c r="B19" s="4">
        <v>15</v>
      </c>
      <c r="C19" s="4" t="s">
        <v>91</v>
      </c>
      <c r="D19" s="4">
        <v>575945</v>
      </c>
      <c r="E19" s="4">
        <v>571830</v>
      </c>
      <c r="F19" s="4">
        <v>569594</v>
      </c>
      <c r="G19" s="4">
        <v>563300</v>
      </c>
      <c r="H19" s="4">
        <v>558584</v>
      </c>
      <c r="I19" s="13">
        <v>554517</v>
      </c>
      <c r="J19" s="13">
        <v>548755</v>
      </c>
      <c r="K19" s="14">
        <v>543735</v>
      </c>
      <c r="L19" s="13">
        <v>539111</v>
      </c>
      <c r="M19" s="14">
        <v>534104</v>
      </c>
      <c r="N19" s="12">
        <v>532000</v>
      </c>
      <c r="O19" s="12">
        <v>527000</v>
      </c>
      <c r="P19" s="12">
        <v>522000</v>
      </c>
      <c r="Q19" s="12">
        <v>517000</v>
      </c>
      <c r="R19" s="12">
        <v>511000</v>
      </c>
      <c r="S19" s="12">
        <v>505000</v>
      </c>
      <c r="T19" s="12">
        <v>498000</v>
      </c>
      <c r="U19" s="12">
        <v>492000</v>
      </c>
      <c r="V19" s="12">
        <v>485000</v>
      </c>
      <c r="W19" s="12">
        <v>478000</v>
      </c>
      <c r="X19" s="12">
        <v>472000</v>
      </c>
      <c r="Y19" s="12">
        <v>465000</v>
      </c>
      <c r="Z19" s="12">
        <v>458000</v>
      </c>
      <c r="AA19" s="12">
        <v>451000</v>
      </c>
      <c r="AB19" s="12">
        <v>444000</v>
      </c>
      <c r="AC19" s="12">
        <v>437000</v>
      </c>
      <c r="AD19" s="12">
        <v>430000</v>
      </c>
      <c r="AE19" s="12">
        <v>423000</v>
      </c>
      <c r="AF19" s="12">
        <v>416000</v>
      </c>
      <c r="AG19" s="12">
        <v>409000</v>
      </c>
      <c r="AH19" s="12">
        <v>402000</v>
      </c>
      <c r="AI19" s="12">
        <v>395000</v>
      </c>
      <c r="AJ19" s="12">
        <v>389000</v>
      </c>
      <c r="AK19" s="12">
        <v>382000</v>
      </c>
      <c r="AL19" s="12">
        <v>375000</v>
      </c>
      <c r="AM19" s="12">
        <v>368000</v>
      </c>
      <c r="AN19" s="12">
        <v>362000</v>
      </c>
      <c r="AO19" s="12">
        <v>355000</v>
      </c>
    </row>
    <row r="20" spans="2:41" hidden="1" x14ac:dyDescent="0.25">
      <c r="B20" s="4">
        <v>16</v>
      </c>
      <c r="C20" s="4" t="s">
        <v>92</v>
      </c>
      <c r="D20" s="4">
        <v>2733053</v>
      </c>
      <c r="E20" s="4">
        <v>2787906</v>
      </c>
      <c r="F20" s="4">
        <v>2840871</v>
      </c>
      <c r="G20" s="4">
        <v>1966336</v>
      </c>
      <c r="H20" s="4">
        <v>1977028</v>
      </c>
      <c r="I20" s="13">
        <v>1983969</v>
      </c>
      <c r="J20" s="13">
        <v>2016037</v>
      </c>
      <c r="K20" s="14">
        <v>2044742</v>
      </c>
      <c r="L20" s="13">
        <v>2088510</v>
      </c>
      <c r="M20" s="14">
        <v>2119226</v>
      </c>
      <c r="N20" s="12">
        <v>2123000</v>
      </c>
      <c r="O20" s="12">
        <v>2145000</v>
      </c>
      <c r="P20" s="12">
        <v>2166000</v>
      </c>
      <c r="Q20" s="12">
        <v>2188000</v>
      </c>
      <c r="R20" s="12">
        <v>2210000</v>
      </c>
      <c r="S20" s="12">
        <v>2233000</v>
      </c>
      <c r="T20" s="12">
        <v>2257000</v>
      </c>
      <c r="U20" s="12">
        <v>2283000</v>
      </c>
      <c r="V20" s="12">
        <v>2311000</v>
      </c>
      <c r="W20" s="12">
        <v>2341000</v>
      </c>
      <c r="X20" s="12">
        <v>2373000</v>
      </c>
      <c r="Y20" s="12">
        <v>2407000</v>
      </c>
      <c r="Z20" s="12">
        <v>2442000</v>
      </c>
      <c r="AA20" s="12">
        <v>2479000</v>
      </c>
      <c r="AB20" s="12">
        <v>2518000</v>
      </c>
      <c r="AC20" s="12">
        <v>2557000</v>
      </c>
      <c r="AD20" s="12">
        <v>2598000</v>
      </c>
      <c r="AE20" s="12">
        <v>2639000</v>
      </c>
      <c r="AF20" s="12">
        <v>2681000</v>
      </c>
      <c r="AG20" s="12">
        <v>2725000</v>
      </c>
      <c r="AH20" s="12">
        <v>2768000</v>
      </c>
      <c r="AI20" s="12">
        <v>2813000</v>
      </c>
      <c r="AJ20" s="12">
        <v>2858000</v>
      </c>
      <c r="AK20" s="12">
        <v>2905000</v>
      </c>
      <c r="AL20" s="12">
        <v>2951000</v>
      </c>
      <c r="AM20" s="12">
        <v>2998000</v>
      </c>
      <c r="AN20" s="12">
        <v>3046000</v>
      </c>
      <c r="AO20" s="12">
        <v>3094000</v>
      </c>
    </row>
    <row r="21" spans="2:41" hidden="1" x14ac:dyDescent="0.25">
      <c r="B21" s="4">
        <v>17</v>
      </c>
      <c r="C21" s="4" t="s">
        <v>93</v>
      </c>
      <c r="D21" s="4"/>
      <c r="E21" s="4"/>
      <c r="F21" s="4"/>
      <c r="G21" s="4"/>
      <c r="H21" s="4"/>
      <c r="I21" s="14"/>
      <c r="J21" s="14"/>
      <c r="K21" s="14"/>
      <c r="L21" s="14">
        <v>220913</v>
      </c>
      <c r="M21" s="14">
        <v>221421</v>
      </c>
      <c r="N21" s="12">
        <v>220000</v>
      </c>
      <c r="O21" s="12">
        <v>220000</v>
      </c>
      <c r="P21" s="12">
        <v>219000</v>
      </c>
      <c r="Q21" s="12">
        <v>218000</v>
      </c>
      <c r="R21" s="12">
        <v>217000</v>
      </c>
      <c r="S21" s="12">
        <v>216000</v>
      </c>
      <c r="T21" s="12">
        <v>215000</v>
      </c>
      <c r="U21" s="12">
        <v>214000</v>
      </c>
      <c r="V21" s="12">
        <v>213000</v>
      </c>
      <c r="W21" s="12">
        <v>211000</v>
      </c>
      <c r="X21" s="12">
        <v>211000</v>
      </c>
      <c r="Y21" s="12">
        <v>210000</v>
      </c>
      <c r="Z21" s="12">
        <v>209000</v>
      </c>
      <c r="AA21" s="12">
        <v>208000</v>
      </c>
      <c r="AB21" s="12">
        <v>207000</v>
      </c>
      <c r="AC21" s="12">
        <v>207000</v>
      </c>
      <c r="AD21" s="12">
        <v>206000</v>
      </c>
      <c r="AE21" s="12">
        <v>206000</v>
      </c>
      <c r="AF21" s="12">
        <v>205000</v>
      </c>
      <c r="AG21" s="12">
        <v>205000</v>
      </c>
      <c r="AH21" s="12">
        <v>205000</v>
      </c>
      <c r="AI21" s="12">
        <v>205000</v>
      </c>
      <c r="AJ21" s="12">
        <v>205000</v>
      </c>
      <c r="AK21" s="12">
        <v>205000</v>
      </c>
      <c r="AL21" s="12">
        <v>205000</v>
      </c>
      <c r="AM21" s="12">
        <v>205000</v>
      </c>
      <c r="AN21" s="12">
        <v>206000</v>
      </c>
      <c r="AO21" s="12">
        <v>206000</v>
      </c>
    </row>
    <row r="22" spans="2:41" hidden="1" x14ac:dyDescent="0.25">
      <c r="B22" s="4">
        <v>18</v>
      </c>
      <c r="C22" s="4" t="s">
        <v>94</v>
      </c>
      <c r="D22" s="4">
        <v>1506899</v>
      </c>
      <c r="E22" s="4">
        <v>1641444</v>
      </c>
      <c r="F22" s="4">
        <v>1702766</v>
      </c>
      <c r="G22" s="4">
        <v>1751308</v>
      </c>
      <c r="H22" s="4">
        <v>1801993</v>
      </c>
      <c r="I22" s="47">
        <v>1854656</v>
      </c>
      <c r="J22" s="13">
        <v>1916822</v>
      </c>
      <c r="K22" s="14">
        <v>1977258</v>
      </c>
      <c r="L22" s="13">
        <v>2101485</v>
      </c>
      <c r="M22" s="14">
        <v>2161902</v>
      </c>
      <c r="N22" s="12">
        <v>2178000</v>
      </c>
      <c r="O22" s="12">
        <v>2229000</v>
      </c>
      <c r="P22" s="12">
        <v>2281000</v>
      </c>
      <c r="Q22" s="12">
        <v>2333000</v>
      </c>
      <c r="R22" s="12">
        <v>2385000</v>
      </c>
      <c r="S22" s="12">
        <v>2436000</v>
      </c>
      <c r="T22" s="12">
        <v>2488000</v>
      </c>
      <c r="U22" s="12">
        <v>2540000</v>
      </c>
      <c r="V22" s="12">
        <v>2591000</v>
      </c>
      <c r="W22" s="12">
        <v>2643000</v>
      </c>
      <c r="X22" s="12">
        <v>2695000</v>
      </c>
      <c r="Y22" s="12">
        <v>2747000</v>
      </c>
      <c r="Z22" s="12">
        <v>2799000</v>
      </c>
      <c r="AA22" s="12">
        <v>2851000</v>
      </c>
      <c r="AB22" s="12">
        <v>2903000</v>
      </c>
      <c r="AC22" s="12">
        <v>2954000</v>
      </c>
      <c r="AD22" s="12">
        <v>3006000</v>
      </c>
      <c r="AE22" s="12">
        <v>3058000</v>
      </c>
      <c r="AF22" s="12">
        <v>3110000</v>
      </c>
      <c r="AG22" s="12">
        <v>3163000</v>
      </c>
      <c r="AH22" s="12">
        <v>3216000</v>
      </c>
      <c r="AI22" s="12">
        <v>3270000</v>
      </c>
      <c r="AJ22" s="12">
        <v>3323000</v>
      </c>
      <c r="AK22" s="12">
        <v>3377000</v>
      </c>
      <c r="AL22" s="12">
        <v>3430000</v>
      </c>
      <c r="AM22" s="12">
        <v>3481000</v>
      </c>
      <c r="AN22" s="12">
        <v>3532000</v>
      </c>
      <c r="AO22" s="12">
        <v>3583000</v>
      </c>
    </row>
    <row r="23" spans="2:41" x14ac:dyDescent="0.25">
      <c r="B23" s="4">
        <v>19</v>
      </c>
      <c r="C23" s="4" t="s">
        <v>95</v>
      </c>
      <c r="D23" s="4">
        <v>814419</v>
      </c>
      <c r="E23" s="4">
        <v>852803</v>
      </c>
      <c r="F23" s="4">
        <v>872584</v>
      </c>
      <c r="G23" s="4">
        <v>972692</v>
      </c>
      <c r="H23" s="4">
        <v>1030577</v>
      </c>
      <c r="I23" s="47">
        <v>1078384</v>
      </c>
      <c r="J23" s="13">
        <v>1136156</v>
      </c>
      <c r="K23" s="14">
        <v>1184411</v>
      </c>
      <c r="L23" s="13">
        <v>1295711</v>
      </c>
      <c r="M23" s="14">
        <v>1354556</v>
      </c>
      <c r="N23" s="12">
        <v>1379000</v>
      </c>
      <c r="O23" s="12">
        <v>1434000</v>
      </c>
      <c r="P23" s="12">
        <v>1490000</v>
      </c>
      <c r="Q23" s="12">
        <v>1545000</v>
      </c>
      <c r="R23" s="12">
        <v>1601000</v>
      </c>
      <c r="S23" s="12">
        <v>1656000</v>
      </c>
      <c r="T23" s="12">
        <v>1712000</v>
      </c>
      <c r="U23" s="12">
        <v>1768000</v>
      </c>
      <c r="V23" s="12">
        <v>1824000</v>
      </c>
      <c r="W23" s="12">
        <v>1880000</v>
      </c>
      <c r="X23" s="12">
        <v>1937000</v>
      </c>
      <c r="Y23" s="12">
        <v>1995000</v>
      </c>
      <c r="Z23" s="12">
        <v>2052000</v>
      </c>
      <c r="AA23" s="12">
        <v>2110000</v>
      </c>
      <c r="AB23" s="12">
        <v>2169000</v>
      </c>
      <c r="AC23" s="12">
        <v>2228000</v>
      </c>
      <c r="AD23" s="12">
        <v>2287000</v>
      </c>
      <c r="AE23" s="12">
        <v>2346000</v>
      </c>
      <c r="AF23" s="12">
        <v>2407000</v>
      </c>
      <c r="AG23" s="12">
        <v>2467000</v>
      </c>
      <c r="AH23" s="12">
        <v>2528000</v>
      </c>
      <c r="AI23" s="12">
        <v>2590000</v>
      </c>
      <c r="AJ23" s="12">
        <v>2652000</v>
      </c>
      <c r="AK23" s="12">
        <v>2714000</v>
      </c>
      <c r="AL23" s="12">
        <v>2776000</v>
      </c>
      <c r="AM23" s="12">
        <v>2838000</v>
      </c>
      <c r="AN23" s="12">
        <v>2900000</v>
      </c>
      <c r="AO23" s="12">
        <v>2961000</v>
      </c>
    </row>
    <row r="24" spans="2:41" hidden="1" x14ac:dyDescent="0.25">
      <c r="B24" s="4">
        <v>20</v>
      </c>
      <c r="C24" s="4" t="s">
        <v>96</v>
      </c>
      <c r="D24" s="4"/>
      <c r="E24" s="4"/>
      <c r="F24" s="4"/>
      <c r="G24" s="4">
        <v>912300</v>
      </c>
      <c r="H24" s="4">
        <v>952169</v>
      </c>
      <c r="I24" s="47">
        <v>1009085</v>
      </c>
      <c r="J24" s="13">
        <v>1038152</v>
      </c>
      <c r="K24" s="14">
        <v>1074466</v>
      </c>
      <c r="L24" s="13">
        <v>1162308</v>
      </c>
      <c r="M24" s="14">
        <v>1192199</v>
      </c>
      <c r="N24" s="12">
        <v>1213000</v>
      </c>
      <c r="O24" s="12">
        <v>1247000</v>
      </c>
      <c r="P24" s="12">
        <v>1282000</v>
      </c>
      <c r="Q24" s="12">
        <v>1316000</v>
      </c>
      <c r="R24" s="12">
        <v>1351000</v>
      </c>
      <c r="S24" s="12">
        <v>1386000</v>
      </c>
      <c r="T24" s="12">
        <v>1421000</v>
      </c>
      <c r="U24" s="12">
        <v>1457000</v>
      </c>
      <c r="V24" s="12">
        <v>1493000</v>
      </c>
      <c r="W24" s="12">
        <v>1530000</v>
      </c>
      <c r="X24" s="12">
        <v>1568000</v>
      </c>
      <c r="Y24" s="12">
        <v>1607000</v>
      </c>
      <c r="Z24" s="12">
        <v>1646000</v>
      </c>
      <c r="AA24" s="12">
        <v>1686000</v>
      </c>
      <c r="AB24" s="12">
        <v>1726000</v>
      </c>
      <c r="AC24" s="12">
        <v>1768000</v>
      </c>
      <c r="AD24" s="12">
        <v>1810000</v>
      </c>
      <c r="AE24" s="12">
        <v>1853000</v>
      </c>
      <c r="AF24" s="12">
        <v>1897000</v>
      </c>
      <c r="AG24" s="12">
        <v>1943000</v>
      </c>
      <c r="AH24" s="12">
        <v>1989000</v>
      </c>
      <c r="AI24" s="12">
        <v>2037000</v>
      </c>
      <c r="AJ24" s="12">
        <v>2085000</v>
      </c>
      <c r="AK24" s="12">
        <v>2134000</v>
      </c>
      <c r="AL24" s="12">
        <v>2183000</v>
      </c>
      <c r="AM24" s="12">
        <v>2231000</v>
      </c>
      <c r="AN24" s="12">
        <v>2280000</v>
      </c>
      <c r="AO24" s="12">
        <v>2329000</v>
      </c>
    </row>
    <row r="25" spans="2:41" x14ac:dyDescent="0.25">
      <c r="B25" s="4"/>
      <c r="C25" s="4" t="s">
        <v>97</v>
      </c>
      <c r="D25" s="107">
        <v>17160855</v>
      </c>
      <c r="E25" s="107">
        <v>17415715</v>
      </c>
      <c r="F25" s="107">
        <v>17669896</v>
      </c>
      <c r="G25" s="107">
        <v>17918214</v>
      </c>
      <c r="H25" s="107">
        <v>18157337</v>
      </c>
      <c r="I25" s="107">
        <v>18395567</v>
      </c>
      <c r="J25" s="107">
        <v>18631779</v>
      </c>
      <c r="K25" s="107">
        <v>18879552</v>
      </c>
      <c r="L25" s="107">
        <v>19503159</v>
      </c>
      <c r="M25" s="107">
        <v>19766807</v>
      </c>
      <c r="N25" s="102">
        <v>19894000</v>
      </c>
      <c r="O25" s="102">
        <v>20146000</v>
      </c>
      <c r="P25" s="102">
        <v>20393000</v>
      </c>
      <c r="Q25" s="102">
        <v>20634000</v>
      </c>
      <c r="R25" s="102">
        <v>20870000</v>
      </c>
      <c r="S25" s="102">
        <v>21108000</v>
      </c>
      <c r="T25" s="102">
        <v>21344000</v>
      </c>
      <c r="U25" s="102">
        <v>21588000</v>
      </c>
      <c r="V25" s="102">
        <v>21834000</v>
      </c>
      <c r="W25" s="102">
        <v>22089000</v>
      </c>
      <c r="X25" s="102">
        <v>22355000</v>
      </c>
      <c r="Y25" s="102">
        <v>22628000</v>
      </c>
      <c r="Z25" s="102">
        <v>22907000</v>
      </c>
      <c r="AA25" s="102">
        <v>23193000</v>
      </c>
      <c r="AB25" s="102">
        <v>23487000</v>
      </c>
      <c r="AC25" s="102">
        <v>23787000</v>
      </c>
      <c r="AD25" s="102">
        <v>24090000</v>
      </c>
      <c r="AE25" s="102">
        <v>24400000</v>
      </c>
      <c r="AF25" s="102">
        <v>24719000</v>
      </c>
      <c r="AG25" s="102">
        <v>25047000</v>
      </c>
      <c r="AH25" s="102">
        <v>25378000</v>
      </c>
      <c r="AI25" s="102">
        <v>25723000</v>
      </c>
      <c r="AJ25" s="102">
        <v>26071000</v>
      </c>
      <c r="AK25" s="102">
        <v>26425000</v>
      </c>
      <c r="AL25" s="102">
        <v>26773000</v>
      </c>
      <c r="AM25" s="102">
        <v>27119000</v>
      </c>
      <c r="AN25" s="102">
        <v>27468000</v>
      </c>
      <c r="AO25" s="102">
        <v>27813000</v>
      </c>
    </row>
    <row r="27" spans="2:41" x14ac:dyDescent="0.25">
      <c r="C27" s="108" t="s">
        <v>98</v>
      </c>
      <c r="L27" s="101"/>
      <c r="M27" s="101"/>
      <c r="N27" s="101"/>
      <c r="O27" s="101"/>
      <c r="P27" s="101"/>
      <c r="Q27" s="101"/>
      <c r="R27" s="101"/>
      <c r="S27" s="101"/>
      <c r="T27" s="101"/>
      <c r="U27" s="101"/>
    </row>
    <row r="28" spans="2:41" x14ac:dyDescent="0.25">
      <c r="B28" s="4"/>
      <c r="C28" s="4"/>
      <c r="D28" s="4"/>
      <c r="E28" s="4"/>
      <c r="F28" s="4"/>
      <c r="G28" s="4"/>
      <c r="H28" s="4"/>
      <c r="I28" s="211" t="s">
        <v>99</v>
      </c>
      <c r="J28" s="211"/>
      <c r="K28" s="211"/>
      <c r="L28" s="211"/>
      <c r="M28" s="211"/>
      <c r="N28" s="216" t="s">
        <v>100</v>
      </c>
      <c r="O28" s="216"/>
      <c r="P28" s="216"/>
      <c r="Q28" s="216"/>
      <c r="R28" s="216"/>
      <c r="S28" s="216"/>
      <c r="T28" s="216"/>
      <c r="U28" s="216"/>
    </row>
    <row r="29" spans="2:41" ht="17.25" customHeight="1" x14ac:dyDescent="0.25">
      <c r="B29" s="4" t="s">
        <v>75</v>
      </c>
      <c r="C29" s="4" t="s">
        <v>76</v>
      </c>
      <c r="D29" s="102">
        <v>2013</v>
      </c>
      <c r="E29" s="102">
        <v>2014</v>
      </c>
      <c r="F29" s="102">
        <v>2015</v>
      </c>
      <c r="G29" s="102">
        <v>2016</v>
      </c>
      <c r="H29" s="102">
        <v>2017</v>
      </c>
      <c r="I29" s="57">
        <v>2018</v>
      </c>
      <c r="J29" s="57">
        <v>2019</v>
      </c>
      <c r="K29" s="57">
        <v>2020</v>
      </c>
      <c r="L29" s="57">
        <v>2021</v>
      </c>
      <c r="M29" s="57">
        <v>2022</v>
      </c>
      <c r="N29" s="109">
        <v>2023</v>
      </c>
      <c r="O29" s="109">
        <v>2024</v>
      </c>
      <c r="P29" s="109">
        <v>2025</v>
      </c>
      <c r="Q29" s="109">
        <v>2026</v>
      </c>
      <c r="R29" s="109">
        <v>2027</v>
      </c>
      <c r="S29" s="109">
        <v>2028</v>
      </c>
      <c r="T29" s="109">
        <v>2029</v>
      </c>
      <c r="U29" s="109">
        <v>2030</v>
      </c>
      <c r="V29" s="110">
        <v>2031</v>
      </c>
      <c r="W29" s="110">
        <v>2032</v>
      </c>
      <c r="X29" s="110">
        <v>2033</v>
      </c>
      <c r="Y29" s="110">
        <v>2034</v>
      </c>
      <c r="Z29" s="110">
        <v>2035</v>
      </c>
      <c r="AA29" s="110">
        <v>2036</v>
      </c>
      <c r="AB29" s="110">
        <v>2037</v>
      </c>
      <c r="AC29" s="110">
        <v>2038</v>
      </c>
      <c r="AD29" s="110">
        <v>2039</v>
      </c>
      <c r="AE29" s="110">
        <v>2040</v>
      </c>
      <c r="AF29" s="109">
        <v>2041</v>
      </c>
      <c r="AG29" s="109">
        <v>2042</v>
      </c>
      <c r="AH29" s="109">
        <v>2043</v>
      </c>
      <c r="AI29" s="109">
        <v>2044</v>
      </c>
      <c r="AJ29" s="109">
        <v>2045</v>
      </c>
      <c r="AK29" s="109">
        <v>2046</v>
      </c>
      <c r="AL29" s="109">
        <v>2047</v>
      </c>
      <c r="AM29" s="109">
        <v>2048</v>
      </c>
      <c r="AN29" s="109">
        <v>2049</v>
      </c>
      <c r="AO29" s="109">
        <v>2050</v>
      </c>
    </row>
    <row r="30" spans="2:41" x14ac:dyDescent="0.25">
      <c r="B30" s="4">
        <v>1</v>
      </c>
      <c r="C30" s="4" t="s">
        <v>77</v>
      </c>
      <c r="D30" s="4"/>
      <c r="E30" s="4"/>
      <c r="F30" s="4"/>
      <c r="G30" s="4"/>
      <c r="H30" s="4"/>
      <c r="I30" s="57"/>
      <c r="J30" s="57"/>
      <c r="K30" s="57"/>
      <c r="L30" s="57">
        <v>132912</v>
      </c>
      <c r="M30" s="57">
        <v>130538</v>
      </c>
      <c r="N30" s="11">
        <v>129500</v>
      </c>
      <c r="O30" s="11">
        <v>127400</v>
      </c>
      <c r="P30" s="11">
        <v>125400</v>
      </c>
      <c r="Q30" s="11">
        <v>123300</v>
      </c>
      <c r="R30" s="11">
        <v>121300</v>
      </c>
      <c r="S30" s="11">
        <v>119400</v>
      </c>
      <c r="T30" s="11">
        <v>117600</v>
      </c>
      <c r="U30" s="11">
        <v>116200</v>
      </c>
      <c r="V30" s="11">
        <v>114900</v>
      </c>
      <c r="W30" s="11">
        <v>113500</v>
      </c>
      <c r="X30" s="11">
        <v>112100</v>
      </c>
      <c r="Y30" s="11">
        <v>110800</v>
      </c>
      <c r="Z30" s="11">
        <v>109700</v>
      </c>
      <c r="AA30" s="11">
        <v>108700</v>
      </c>
      <c r="AB30" s="11">
        <v>107600</v>
      </c>
      <c r="AC30" s="11">
        <v>106200</v>
      </c>
      <c r="AD30" s="11">
        <v>104900</v>
      </c>
      <c r="AE30" s="11">
        <v>103600</v>
      </c>
      <c r="AF30" s="11">
        <v>102400</v>
      </c>
      <c r="AG30" s="11">
        <v>101200</v>
      </c>
      <c r="AH30" s="11">
        <v>100400</v>
      </c>
      <c r="AI30" s="11">
        <v>99800</v>
      </c>
      <c r="AJ30" s="11">
        <v>99400</v>
      </c>
      <c r="AK30" s="11">
        <v>99600</v>
      </c>
      <c r="AL30" s="11">
        <v>100000</v>
      </c>
      <c r="AM30" s="11">
        <v>100700</v>
      </c>
      <c r="AN30" s="11">
        <v>101700</v>
      </c>
      <c r="AO30" s="11">
        <v>102900</v>
      </c>
    </row>
    <row r="31" spans="2:41" x14ac:dyDescent="0.25">
      <c r="B31" s="4">
        <v>2</v>
      </c>
      <c r="C31" s="4" t="s">
        <v>78</v>
      </c>
      <c r="D31" s="4">
        <v>187025</v>
      </c>
      <c r="E31" s="4">
        <v>184033</v>
      </c>
      <c r="F31" s="4">
        <v>183809</v>
      </c>
      <c r="G31" s="4">
        <v>177451</v>
      </c>
      <c r="H31" s="4">
        <v>175994</v>
      </c>
      <c r="I31" s="57">
        <v>173908</v>
      </c>
      <c r="J31" s="56">
        <v>172280</v>
      </c>
      <c r="K31" s="57">
        <v>170601</v>
      </c>
      <c r="L31" s="56">
        <v>178744</v>
      </c>
      <c r="M31" s="57">
        <v>177851</v>
      </c>
      <c r="N31" s="11">
        <v>176300</v>
      </c>
      <c r="O31" s="11">
        <v>175200</v>
      </c>
      <c r="P31" s="11">
        <v>174200</v>
      </c>
      <c r="Q31" s="11">
        <v>173000</v>
      </c>
      <c r="R31" s="11">
        <v>172100</v>
      </c>
      <c r="S31" s="11">
        <v>171200</v>
      </c>
      <c r="T31" s="11">
        <v>170200</v>
      </c>
      <c r="U31" s="11">
        <v>169500</v>
      </c>
      <c r="V31" s="11">
        <v>168700</v>
      </c>
      <c r="W31" s="11">
        <v>167600</v>
      </c>
      <c r="X31" s="11">
        <v>166200</v>
      </c>
      <c r="Y31" s="11">
        <v>164400</v>
      </c>
      <c r="Z31" s="11">
        <v>162000</v>
      </c>
      <c r="AA31" s="11">
        <v>159200</v>
      </c>
      <c r="AB31" s="11">
        <v>156500</v>
      </c>
      <c r="AC31" s="11">
        <v>154100</v>
      </c>
      <c r="AD31" s="11">
        <v>151800</v>
      </c>
      <c r="AE31" s="11">
        <v>149600</v>
      </c>
      <c r="AF31" s="11">
        <v>147800</v>
      </c>
      <c r="AG31" s="11">
        <v>146300</v>
      </c>
      <c r="AH31" s="11">
        <v>145200</v>
      </c>
      <c r="AI31" s="11">
        <v>144200</v>
      </c>
      <c r="AJ31" s="11">
        <v>143500</v>
      </c>
      <c r="AK31" s="11">
        <v>143300</v>
      </c>
      <c r="AL31" s="11">
        <v>143400</v>
      </c>
      <c r="AM31" s="11">
        <v>143800</v>
      </c>
      <c r="AN31" s="11">
        <v>144500</v>
      </c>
      <c r="AO31" s="11">
        <v>145400</v>
      </c>
    </row>
    <row r="32" spans="2:41" x14ac:dyDescent="0.25">
      <c r="B32" s="4">
        <v>3</v>
      </c>
      <c r="C32" s="4" t="s">
        <v>79</v>
      </c>
      <c r="D32" s="4">
        <v>226831</v>
      </c>
      <c r="E32" s="4">
        <v>225551</v>
      </c>
      <c r="F32" s="4">
        <v>223637</v>
      </c>
      <c r="G32" s="4">
        <v>221493</v>
      </c>
      <c r="H32" s="4">
        <v>220459</v>
      </c>
      <c r="I32" s="57">
        <v>219444</v>
      </c>
      <c r="J32" s="56">
        <v>218643</v>
      </c>
      <c r="K32" s="57">
        <v>217996</v>
      </c>
      <c r="L32" s="56">
        <v>213660</v>
      </c>
      <c r="M32" s="57">
        <v>214205</v>
      </c>
      <c r="N32" s="11">
        <v>214900</v>
      </c>
      <c r="O32" s="11">
        <v>216200</v>
      </c>
      <c r="P32" s="11">
        <v>217700</v>
      </c>
      <c r="Q32" s="11">
        <v>219400</v>
      </c>
      <c r="R32" s="11">
        <v>221300</v>
      </c>
      <c r="S32" s="11">
        <v>223200</v>
      </c>
      <c r="T32" s="11">
        <v>225300</v>
      </c>
      <c r="U32" s="11">
        <v>227700</v>
      </c>
      <c r="V32" s="11">
        <v>230200</v>
      </c>
      <c r="W32" s="11">
        <v>232400</v>
      </c>
      <c r="X32" s="11">
        <v>234500</v>
      </c>
      <c r="Y32" s="11">
        <v>236500</v>
      </c>
      <c r="Z32" s="11">
        <v>238600</v>
      </c>
      <c r="AA32" s="11">
        <v>240800</v>
      </c>
      <c r="AB32" s="11">
        <v>242400</v>
      </c>
      <c r="AC32" s="11">
        <v>243300</v>
      </c>
      <c r="AD32" s="11">
        <v>244100</v>
      </c>
      <c r="AE32" s="11">
        <v>245000</v>
      </c>
      <c r="AF32" s="11">
        <v>246000</v>
      </c>
      <c r="AG32" s="11">
        <v>247100</v>
      </c>
      <c r="AH32" s="11">
        <v>248400</v>
      </c>
      <c r="AI32" s="11">
        <v>250100</v>
      </c>
      <c r="AJ32" s="11">
        <v>252300</v>
      </c>
      <c r="AK32" s="11">
        <v>255000</v>
      </c>
      <c r="AL32" s="11">
        <v>258500</v>
      </c>
      <c r="AM32" s="11">
        <v>262400</v>
      </c>
      <c r="AN32" s="11">
        <v>266900</v>
      </c>
      <c r="AO32" s="11">
        <v>271900</v>
      </c>
    </row>
    <row r="33" spans="2:41" x14ac:dyDescent="0.25">
      <c r="B33" s="4">
        <v>4</v>
      </c>
      <c r="C33" s="4" t="s">
        <v>80</v>
      </c>
      <c r="D33" s="4">
        <v>522850</v>
      </c>
      <c r="E33" s="4">
        <v>491897</v>
      </c>
      <c r="F33" s="4">
        <v>487714</v>
      </c>
      <c r="G33" s="4">
        <v>484327</v>
      </c>
      <c r="H33" s="4">
        <v>482044</v>
      </c>
      <c r="I33" s="57">
        <v>477386</v>
      </c>
      <c r="J33" s="56">
        <v>474213</v>
      </c>
      <c r="K33" s="57">
        <v>470701</v>
      </c>
      <c r="L33" s="56">
        <v>339826</v>
      </c>
      <c r="M33" s="57">
        <v>343489</v>
      </c>
      <c r="N33" s="11">
        <v>345600</v>
      </c>
      <c r="O33" s="11">
        <v>349600</v>
      </c>
      <c r="P33" s="11">
        <v>353200</v>
      </c>
      <c r="Q33" s="11">
        <v>356800</v>
      </c>
      <c r="R33" s="11">
        <v>360300</v>
      </c>
      <c r="S33" s="11">
        <v>363900</v>
      </c>
      <c r="T33" s="11">
        <v>367800</v>
      </c>
      <c r="U33" s="11">
        <v>371700</v>
      </c>
      <c r="V33" s="11">
        <v>375600</v>
      </c>
      <c r="W33" s="11">
        <v>379100</v>
      </c>
      <c r="X33" s="11">
        <v>382300</v>
      </c>
      <c r="Y33" s="11">
        <v>384700</v>
      </c>
      <c r="Z33" s="11">
        <v>385800</v>
      </c>
      <c r="AA33" s="11">
        <v>386600</v>
      </c>
      <c r="AB33" s="11">
        <v>388100</v>
      </c>
      <c r="AC33" s="11">
        <v>390000</v>
      </c>
      <c r="AD33" s="11">
        <v>392100</v>
      </c>
      <c r="AE33" s="11">
        <v>394400</v>
      </c>
      <c r="AF33" s="11">
        <v>397200</v>
      </c>
      <c r="AG33" s="11">
        <v>400600</v>
      </c>
      <c r="AH33" s="11">
        <v>405000</v>
      </c>
      <c r="AI33" s="11">
        <v>410400</v>
      </c>
      <c r="AJ33" s="11">
        <v>416900</v>
      </c>
      <c r="AK33" s="11">
        <v>424800</v>
      </c>
      <c r="AL33" s="11">
        <v>434000</v>
      </c>
      <c r="AM33" s="11">
        <v>444300</v>
      </c>
      <c r="AN33" s="11">
        <v>455500</v>
      </c>
      <c r="AO33" s="11">
        <v>467400</v>
      </c>
    </row>
    <row r="34" spans="2:41" x14ac:dyDescent="0.25">
      <c r="B34" s="4">
        <v>5</v>
      </c>
      <c r="C34" s="4" t="s">
        <v>81</v>
      </c>
      <c r="D34" s="4">
        <v>149015</v>
      </c>
      <c r="E34" s="4">
        <v>149373</v>
      </c>
      <c r="F34" s="4">
        <v>149355</v>
      </c>
      <c r="G34" s="4">
        <v>149234</v>
      </c>
      <c r="H34" s="4">
        <v>150075</v>
      </c>
      <c r="I34" s="57">
        <v>150853</v>
      </c>
      <c r="J34" s="56">
        <v>151754</v>
      </c>
      <c r="K34" s="57">
        <v>152790</v>
      </c>
      <c r="L34" s="56">
        <v>157532</v>
      </c>
      <c r="M34" s="57">
        <v>159139</v>
      </c>
      <c r="N34" s="11">
        <v>159900</v>
      </c>
      <c r="O34" s="11">
        <v>161800</v>
      </c>
      <c r="P34" s="11">
        <v>163900</v>
      </c>
      <c r="Q34" s="11">
        <v>166200</v>
      </c>
      <c r="R34" s="11">
        <v>168700</v>
      </c>
      <c r="S34" s="11">
        <v>171300</v>
      </c>
      <c r="T34" s="11">
        <v>173800</v>
      </c>
      <c r="U34" s="11">
        <v>176400</v>
      </c>
      <c r="V34" s="11">
        <v>179100</v>
      </c>
      <c r="W34" s="11">
        <v>181800</v>
      </c>
      <c r="X34" s="11">
        <v>184400</v>
      </c>
      <c r="Y34" s="11">
        <v>186900</v>
      </c>
      <c r="Z34" s="11">
        <v>189400</v>
      </c>
      <c r="AA34" s="11">
        <v>192000</v>
      </c>
      <c r="AB34" s="11">
        <v>194100</v>
      </c>
      <c r="AC34" s="11">
        <v>195700</v>
      </c>
      <c r="AD34" s="11">
        <v>197100</v>
      </c>
      <c r="AE34" s="11">
        <v>198500</v>
      </c>
      <c r="AF34" s="11">
        <v>200100</v>
      </c>
      <c r="AG34" s="11">
        <v>201800</v>
      </c>
      <c r="AH34" s="11">
        <v>203900</v>
      </c>
      <c r="AI34" s="11">
        <v>206100</v>
      </c>
      <c r="AJ34" s="11">
        <v>208900</v>
      </c>
      <c r="AK34" s="11">
        <v>212200</v>
      </c>
      <c r="AL34" s="11">
        <v>216100</v>
      </c>
      <c r="AM34" s="11">
        <v>220300</v>
      </c>
      <c r="AN34" s="11">
        <v>225100</v>
      </c>
      <c r="AO34" s="11">
        <v>230400</v>
      </c>
    </row>
    <row r="35" spans="2:41" x14ac:dyDescent="0.25">
      <c r="B35" s="4">
        <v>6</v>
      </c>
      <c r="C35" s="4" t="s">
        <v>82</v>
      </c>
      <c r="D35" s="4">
        <v>358751</v>
      </c>
      <c r="E35" s="4">
        <v>352053</v>
      </c>
      <c r="F35" s="4">
        <v>345889</v>
      </c>
      <c r="G35" s="4">
        <v>337677</v>
      </c>
      <c r="H35" s="4">
        <v>331053</v>
      </c>
      <c r="I35" s="55">
        <v>324975</v>
      </c>
      <c r="J35" s="56">
        <v>319060</v>
      </c>
      <c r="K35" s="57">
        <v>314020</v>
      </c>
      <c r="L35" s="56">
        <v>160941</v>
      </c>
      <c r="M35" s="57">
        <v>158801</v>
      </c>
      <c r="N35" s="11">
        <v>158100</v>
      </c>
      <c r="O35" s="11">
        <v>156400</v>
      </c>
      <c r="P35" s="11">
        <v>154600</v>
      </c>
      <c r="Q35" s="11">
        <v>152800</v>
      </c>
      <c r="R35" s="11">
        <v>151000</v>
      </c>
      <c r="S35" s="11">
        <v>149300</v>
      </c>
      <c r="T35" s="11">
        <v>147800</v>
      </c>
      <c r="U35" s="11">
        <v>146400</v>
      </c>
      <c r="V35" s="11">
        <v>144900</v>
      </c>
      <c r="W35" s="11">
        <v>143300</v>
      </c>
      <c r="X35" s="11">
        <v>141600</v>
      </c>
      <c r="Y35" s="11">
        <v>139700</v>
      </c>
      <c r="Z35" s="11">
        <v>137900</v>
      </c>
      <c r="AA35" s="11">
        <v>136200</v>
      </c>
      <c r="AB35" s="11">
        <v>134200</v>
      </c>
      <c r="AC35" s="11">
        <v>131900</v>
      </c>
      <c r="AD35" s="11">
        <v>129699.99999999999</v>
      </c>
      <c r="AE35" s="11">
        <v>127700</v>
      </c>
      <c r="AF35" s="11">
        <v>125900</v>
      </c>
      <c r="AG35" s="11">
        <v>124400</v>
      </c>
      <c r="AH35" s="11">
        <v>123200</v>
      </c>
      <c r="AI35" s="11">
        <v>122500</v>
      </c>
      <c r="AJ35" s="11">
        <v>121900</v>
      </c>
      <c r="AK35" s="11">
        <v>121700</v>
      </c>
      <c r="AL35" s="11">
        <v>121900</v>
      </c>
      <c r="AM35" s="11">
        <v>122300</v>
      </c>
      <c r="AN35" s="11">
        <v>123000</v>
      </c>
      <c r="AO35" s="11">
        <v>123800</v>
      </c>
    </row>
    <row r="36" spans="2:41" x14ac:dyDescent="0.25">
      <c r="B36" s="4">
        <v>7</v>
      </c>
      <c r="C36" s="4" t="s">
        <v>83</v>
      </c>
      <c r="D36" s="4">
        <v>273913</v>
      </c>
      <c r="E36" s="4">
        <v>271352</v>
      </c>
      <c r="F36" s="4">
        <v>268632</v>
      </c>
      <c r="G36" s="4">
        <v>264016</v>
      </c>
      <c r="H36" s="4">
        <v>260005</v>
      </c>
      <c r="I36" s="56">
        <v>257863</v>
      </c>
      <c r="J36" s="111">
        <v>255878</v>
      </c>
      <c r="K36" s="57">
        <v>254536</v>
      </c>
      <c r="L36" s="56">
        <v>271799</v>
      </c>
      <c r="M36" s="57">
        <v>271380</v>
      </c>
      <c r="N36" s="11">
        <v>278300</v>
      </c>
      <c r="O36" s="11">
        <v>283300</v>
      </c>
      <c r="P36" s="11">
        <v>288100</v>
      </c>
      <c r="Q36" s="11">
        <v>292800</v>
      </c>
      <c r="R36" s="11">
        <v>297600</v>
      </c>
      <c r="S36" s="11">
        <v>302600</v>
      </c>
      <c r="T36" s="11">
        <v>307900</v>
      </c>
      <c r="U36" s="11">
        <v>313400</v>
      </c>
      <c r="V36" s="11">
        <v>318600</v>
      </c>
      <c r="W36" s="11">
        <v>323300</v>
      </c>
      <c r="X36" s="11">
        <v>327800</v>
      </c>
      <c r="Y36" s="11">
        <v>332400</v>
      </c>
      <c r="Z36" s="11">
        <v>336900</v>
      </c>
      <c r="AA36" s="11">
        <v>341900</v>
      </c>
      <c r="AB36" s="11">
        <v>346800</v>
      </c>
      <c r="AC36" s="11">
        <v>351200</v>
      </c>
      <c r="AD36" s="11">
        <v>355800</v>
      </c>
      <c r="AE36" s="11">
        <v>360800</v>
      </c>
      <c r="AF36" s="11">
        <v>366200</v>
      </c>
      <c r="AG36" s="11">
        <v>372100</v>
      </c>
      <c r="AH36" s="11">
        <v>378700</v>
      </c>
      <c r="AI36" s="11">
        <v>386000</v>
      </c>
      <c r="AJ36" s="11">
        <v>394200</v>
      </c>
      <c r="AK36" s="11">
        <v>403700</v>
      </c>
      <c r="AL36" s="11">
        <v>414400</v>
      </c>
      <c r="AM36" s="11">
        <v>426200</v>
      </c>
      <c r="AN36" s="11">
        <v>438600</v>
      </c>
      <c r="AO36" s="11">
        <v>451400</v>
      </c>
    </row>
    <row r="37" spans="2:41" x14ac:dyDescent="0.25">
      <c r="B37" s="4">
        <v>8</v>
      </c>
      <c r="C37" s="4" t="s">
        <v>84</v>
      </c>
      <c r="D37" s="4"/>
      <c r="E37" s="4"/>
      <c r="F37" s="4"/>
      <c r="G37" s="4"/>
      <c r="H37" s="4"/>
      <c r="I37" s="57"/>
      <c r="J37" s="57"/>
      <c r="K37" s="57"/>
      <c r="L37" s="57">
        <v>154309</v>
      </c>
      <c r="M37" s="57">
        <v>152058</v>
      </c>
      <c r="N37" s="11">
        <v>155400</v>
      </c>
      <c r="O37" s="11">
        <v>156700</v>
      </c>
      <c r="P37" s="11">
        <v>158000</v>
      </c>
      <c r="Q37" s="11">
        <v>159300</v>
      </c>
      <c r="R37" s="11">
        <v>160600</v>
      </c>
      <c r="S37" s="11">
        <v>162200</v>
      </c>
      <c r="T37" s="11">
        <v>163900</v>
      </c>
      <c r="U37" s="11">
        <v>165700</v>
      </c>
      <c r="V37" s="11">
        <v>167400</v>
      </c>
      <c r="W37" s="11">
        <v>169100</v>
      </c>
      <c r="X37" s="11">
        <v>170900</v>
      </c>
      <c r="Y37" s="11">
        <v>172700</v>
      </c>
      <c r="Z37" s="11">
        <v>174400</v>
      </c>
      <c r="AA37" s="11">
        <v>176400</v>
      </c>
      <c r="AB37" s="11">
        <v>178400</v>
      </c>
      <c r="AC37" s="11">
        <v>180200</v>
      </c>
      <c r="AD37" s="11">
        <v>182200</v>
      </c>
      <c r="AE37" s="11">
        <v>184400</v>
      </c>
      <c r="AF37" s="11">
        <v>186900</v>
      </c>
      <c r="AG37" s="11">
        <v>189600</v>
      </c>
      <c r="AH37" s="11">
        <v>192800</v>
      </c>
      <c r="AI37" s="11">
        <v>196500</v>
      </c>
      <c r="AJ37" s="11">
        <v>200600</v>
      </c>
      <c r="AK37" s="11">
        <v>205500</v>
      </c>
      <c r="AL37" s="11">
        <v>211000</v>
      </c>
      <c r="AM37" s="11">
        <v>217000</v>
      </c>
      <c r="AN37" s="11">
        <v>223500</v>
      </c>
      <c r="AO37" s="11">
        <v>230400</v>
      </c>
    </row>
    <row r="38" spans="2:41" x14ac:dyDescent="0.25">
      <c r="B38" s="4">
        <v>9</v>
      </c>
      <c r="C38" s="4" t="s">
        <v>85</v>
      </c>
      <c r="D38" s="4">
        <v>164697</v>
      </c>
      <c r="E38" s="4">
        <v>162970</v>
      </c>
      <c r="F38" s="4">
        <v>161933</v>
      </c>
      <c r="G38" s="4">
        <v>159860</v>
      </c>
      <c r="H38" s="4">
        <v>158488</v>
      </c>
      <c r="I38" s="55">
        <v>157282</v>
      </c>
      <c r="J38" s="112">
        <v>155868</v>
      </c>
      <c r="K38" s="57">
        <v>154497</v>
      </c>
      <c r="L38" s="56">
        <v>155725</v>
      </c>
      <c r="M38" s="57">
        <v>155100</v>
      </c>
      <c r="N38" s="11">
        <v>155200</v>
      </c>
      <c r="O38" s="11">
        <v>155200</v>
      </c>
      <c r="P38" s="11">
        <v>155100</v>
      </c>
      <c r="Q38" s="11">
        <v>155200</v>
      </c>
      <c r="R38" s="11">
        <v>155300</v>
      </c>
      <c r="S38" s="11">
        <v>155500</v>
      </c>
      <c r="T38" s="11">
        <v>155900</v>
      </c>
      <c r="U38" s="11">
        <v>156500</v>
      </c>
      <c r="V38" s="11">
        <v>157200</v>
      </c>
      <c r="W38" s="11">
        <v>157700</v>
      </c>
      <c r="X38" s="11">
        <v>158200</v>
      </c>
      <c r="Y38" s="11">
        <v>158500</v>
      </c>
      <c r="Z38" s="11">
        <v>158700</v>
      </c>
      <c r="AA38" s="11">
        <v>159000</v>
      </c>
      <c r="AB38" s="11">
        <v>159100</v>
      </c>
      <c r="AC38" s="11">
        <v>158800</v>
      </c>
      <c r="AD38" s="11">
        <v>158500</v>
      </c>
      <c r="AE38" s="11">
        <v>158300</v>
      </c>
      <c r="AF38" s="11">
        <v>158100</v>
      </c>
      <c r="AG38" s="11">
        <v>158000</v>
      </c>
      <c r="AH38" s="11">
        <v>158100</v>
      </c>
      <c r="AI38" s="11">
        <v>158500</v>
      </c>
      <c r="AJ38" s="11">
        <v>159300</v>
      </c>
      <c r="AK38" s="11">
        <v>160500</v>
      </c>
      <c r="AL38" s="11">
        <v>162200</v>
      </c>
      <c r="AM38" s="11">
        <v>164100</v>
      </c>
      <c r="AN38" s="11">
        <v>166500</v>
      </c>
      <c r="AO38" s="11">
        <v>169200</v>
      </c>
    </row>
    <row r="39" spans="2:41" x14ac:dyDescent="0.25">
      <c r="B39" s="4">
        <v>10</v>
      </c>
      <c r="C39" s="4" t="s">
        <v>86</v>
      </c>
      <c r="D39" s="4">
        <v>363112</v>
      </c>
      <c r="E39" s="4">
        <v>360232</v>
      </c>
      <c r="F39" s="4">
        <v>355919</v>
      </c>
      <c r="G39" s="4">
        <v>349307</v>
      </c>
      <c r="H39" s="4">
        <v>344293</v>
      </c>
      <c r="I39" s="56">
        <v>339576</v>
      </c>
      <c r="J39" s="56">
        <v>335545</v>
      </c>
      <c r="K39" s="57">
        <v>331647</v>
      </c>
      <c r="L39" s="56">
        <v>266548</v>
      </c>
      <c r="M39" s="57">
        <v>264258</v>
      </c>
      <c r="N39" s="11">
        <v>262600</v>
      </c>
      <c r="O39" s="11">
        <v>260300</v>
      </c>
      <c r="P39" s="11">
        <v>258100.00000000003</v>
      </c>
      <c r="Q39" s="11">
        <v>256000</v>
      </c>
      <c r="R39" s="11">
        <v>254100</v>
      </c>
      <c r="S39" s="11">
        <v>252300</v>
      </c>
      <c r="T39" s="11">
        <v>250600</v>
      </c>
      <c r="U39" s="11">
        <v>249200</v>
      </c>
      <c r="V39" s="11">
        <v>247700</v>
      </c>
      <c r="W39" s="11">
        <v>245900</v>
      </c>
      <c r="X39" s="11">
        <v>243800</v>
      </c>
      <c r="Y39" s="11">
        <v>241400</v>
      </c>
      <c r="Z39" s="11">
        <v>239000</v>
      </c>
      <c r="AA39" s="11">
        <v>236700</v>
      </c>
      <c r="AB39" s="11">
        <v>234000</v>
      </c>
      <c r="AC39" s="11">
        <v>231000</v>
      </c>
      <c r="AD39" s="11">
        <v>228300</v>
      </c>
      <c r="AE39" s="11">
        <v>226000</v>
      </c>
      <c r="AF39" s="11">
        <v>223900</v>
      </c>
      <c r="AG39" s="11">
        <v>222000</v>
      </c>
      <c r="AH39" s="11">
        <v>220700</v>
      </c>
      <c r="AI39" s="11">
        <v>219700</v>
      </c>
      <c r="AJ39" s="11">
        <v>219100</v>
      </c>
      <c r="AK39" s="11">
        <v>219100</v>
      </c>
      <c r="AL39" s="11">
        <v>219600</v>
      </c>
      <c r="AM39" s="11">
        <v>220600</v>
      </c>
      <c r="AN39" s="11">
        <v>221900</v>
      </c>
      <c r="AO39" s="11">
        <v>223600</v>
      </c>
    </row>
    <row r="40" spans="2:41" x14ac:dyDescent="0.25">
      <c r="B40" s="4">
        <v>11</v>
      </c>
      <c r="C40" s="4" t="s">
        <v>87</v>
      </c>
      <c r="D40" s="4">
        <v>234550</v>
      </c>
      <c r="E40" s="4">
        <v>231085</v>
      </c>
      <c r="F40" s="4">
        <v>228305</v>
      </c>
      <c r="G40" s="4">
        <v>223812</v>
      </c>
      <c r="H40" s="4">
        <v>220320</v>
      </c>
      <c r="I40" s="56">
        <v>217002</v>
      </c>
      <c r="J40" s="56">
        <v>213640</v>
      </c>
      <c r="K40" s="57">
        <v>210105</v>
      </c>
      <c r="L40" s="56">
        <v>191327</v>
      </c>
      <c r="M40" s="57">
        <v>188770</v>
      </c>
      <c r="N40" s="11">
        <v>187500</v>
      </c>
      <c r="O40" s="11">
        <v>185300</v>
      </c>
      <c r="P40" s="11">
        <v>183200</v>
      </c>
      <c r="Q40" s="11">
        <v>181100</v>
      </c>
      <c r="R40" s="11">
        <v>179300</v>
      </c>
      <c r="S40" s="11">
        <v>177300</v>
      </c>
      <c r="T40" s="11">
        <v>175300</v>
      </c>
      <c r="U40" s="11">
        <v>173400</v>
      </c>
      <c r="V40" s="11">
        <v>171300</v>
      </c>
      <c r="W40" s="11">
        <v>168900</v>
      </c>
      <c r="X40" s="11">
        <v>166400</v>
      </c>
      <c r="Y40" s="11">
        <v>163700</v>
      </c>
      <c r="Z40" s="11">
        <v>160900</v>
      </c>
      <c r="AA40" s="11">
        <v>158000</v>
      </c>
      <c r="AB40" s="11">
        <v>154900</v>
      </c>
      <c r="AC40" s="11">
        <v>151600</v>
      </c>
      <c r="AD40" s="11">
        <v>148700</v>
      </c>
      <c r="AE40" s="11">
        <v>146000</v>
      </c>
      <c r="AF40" s="11">
        <v>143500</v>
      </c>
      <c r="AG40" s="11">
        <v>141200</v>
      </c>
      <c r="AH40" s="11">
        <v>139300</v>
      </c>
      <c r="AI40" s="11">
        <v>137600</v>
      </c>
      <c r="AJ40" s="11">
        <v>136200</v>
      </c>
      <c r="AK40" s="11">
        <v>135100</v>
      </c>
      <c r="AL40" s="11">
        <v>134400</v>
      </c>
      <c r="AM40" s="11">
        <v>133800</v>
      </c>
      <c r="AN40" s="11">
        <v>133500</v>
      </c>
      <c r="AO40" s="11">
        <v>133200</v>
      </c>
    </row>
    <row r="41" spans="2:41" x14ac:dyDescent="0.25">
      <c r="B41" s="4">
        <v>12</v>
      </c>
      <c r="C41" s="4" t="s">
        <v>88</v>
      </c>
      <c r="D41" s="4">
        <v>188812</v>
      </c>
      <c r="E41" s="4">
        <v>188776</v>
      </c>
      <c r="F41" s="4">
        <v>188391</v>
      </c>
      <c r="G41" s="4">
        <v>186756</v>
      </c>
      <c r="H41" s="4">
        <v>186306</v>
      </c>
      <c r="I41" s="56">
        <v>186076</v>
      </c>
      <c r="J41" s="56">
        <v>186345</v>
      </c>
      <c r="K41" s="57">
        <v>186373</v>
      </c>
      <c r="L41" s="56">
        <v>183767</v>
      </c>
      <c r="M41" s="57">
        <v>184171</v>
      </c>
      <c r="N41" s="11">
        <v>185400</v>
      </c>
      <c r="O41" s="11">
        <v>186900</v>
      </c>
      <c r="P41" s="11">
        <v>188600</v>
      </c>
      <c r="Q41" s="11">
        <v>190300</v>
      </c>
      <c r="R41" s="11">
        <v>192100</v>
      </c>
      <c r="S41" s="11">
        <v>193900</v>
      </c>
      <c r="T41" s="11">
        <v>196000</v>
      </c>
      <c r="U41" s="11">
        <v>198200</v>
      </c>
      <c r="V41" s="11">
        <v>200300</v>
      </c>
      <c r="W41" s="11">
        <v>202300</v>
      </c>
      <c r="X41" s="11">
        <v>204300</v>
      </c>
      <c r="Y41" s="11">
        <v>206200</v>
      </c>
      <c r="Z41" s="11">
        <v>208600</v>
      </c>
      <c r="AA41" s="11">
        <v>211900</v>
      </c>
      <c r="AB41" s="11">
        <v>214500</v>
      </c>
      <c r="AC41" s="11">
        <v>215900</v>
      </c>
      <c r="AD41" s="11">
        <v>217300</v>
      </c>
      <c r="AE41" s="11">
        <v>218700</v>
      </c>
      <c r="AF41" s="11">
        <v>220100</v>
      </c>
      <c r="AG41" s="11">
        <v>221500</v>
      </c>
      <c r="AH41" s="11">
        <v>223000</v>
      </c>
      <c r="AI41" s="11">
        <v>224700</v>
      </c>
      <c r="AJ41" s="11">
        <v>227100</v>
      </c>
      <c r="AK41" s="11">
        <v>230400</v>
      </c>
      <c r="AL41" s="11">
        <v>234300</v>
      </c>
      <c r="AM41" s="11">
        <v>238800</v>
      </c>
      <c r="AN41" s="11">
        <v>243800</v>
      </c>
      <c r="AO41" s="11">
        <v>249300</v>
      </c>
    </row>
    <row r="42" spans="2:41" x14ac:dyDescent="0.25">
      <c r="B42" s="4">
        <v>13</v>
      </c>
      <c r="C42" s="4" t="s">
        <v>89</v>
      </c>
      <c r="D42" s="4">
        <v>156270</v>
      </c>
      <c r="E42" s="4">
        <v>157772</v>
      </c>
      <c r="F42" s="4">
        <v>159519</v>
      </c>
      <c r="G42" s="4">
        <v>160043</v>
      </c>
      <c r="H42" s="4">
        <v>161722</v>
      </c>
      <c r="I42" s="56">
        <v>163368</v>
      </c>
      <c r="J42" s="56">
        <v>166306</v>
      </c>
      <c r="K42" s="57">
        <v>169015</v>
      </c>
      <c r="L42" s="56">
        <v>172226</v>
      </c>
      <c r="M42" s="57">
        <v>176625</v>
      </c>
      <c r="N42" s="11">
        <v>178600</v>
      </c>
      <c r="O42" s="11">
        <v>183200</v>
      </c>
      <c r="P42" s="11">
        <v>187700</v>
      </c>
      <c r="Q42" s="11">
        <v>192400</v>
      </c>
      <c r="R42" s="11">
        <v>197300</v>
      </c>
      <c r="S42" s="11">
        <v>202600</v>
      </c>
      <c r="T42" s="11">
        <v>208200</v>
      </c>
      <c r="U42" s="11">
        <v>213900</v>
      </c>
      <c r="V42" s="11">
        <v>219600</v>
      </c>
      <c r="W42" s="11">
        <v>225300</v>
      </c>
      <c r="X42" s="11">
        <v>230600</v>
      </c>
      <c r="Y42" s="11">
        <v>235800</v>
      </c>
      <c r="Z42" s="11">
        <v>241100</v>
      </c>
      <c r="AA42" s="11">
        <v>246800</v>
      </c>
      <c r="AB42" s="11">
        <v>252000</v>
      </c>
      <c r="AC42" s="11">
        <v>256399.99999999997</v>
      </c>
      <c r="AD42" s="11">
        <v>260899.99999999997</v>
      </c>
      <c r="AE42" s="11">
        <v>265500</v>
      </c>
      <c r="AF42" s="11">
        <v>270000</v>
      </c>
      <c r="AG42" s="11">
        <v>274700</v>
      </c>
      <c r="AH42" s="11">
        <v>279800</v>
      </c>
      <c r="AI42" s="11">
        <v>285300</v>
      </c>
      <c r="AJ42" s="11">
        <v>291400</v>
      </c>
      <c r="AK42" s="11">
        <v>298100</v>
      </c>
      <c r="AL42" s="11">
        <v>305400</v>
      </c>
      <c r="AM42" s="11">
        <v>313200</v>
      </c>
      <c r="AN42" s="11">
        <v>321800</v>
      </c>
      <c r="AO42" s="11">
        <v>330900</v>
      </c>
    </row>
    <row r="43" spans="2:41" x14ac:dyDescent="0.25">
      <c r="B43" s="4">
        <v>14</v>
      </c>
      <c r="C43" s="4" t="s">
        <v>90</v>
      </c>
      <c r="D43" s="4">
        <v>201445</v>
      </c>
      <c r="E43" s="4">
        <v>198169</v>
      </c>
      <c r="F43" s="4">
        <v>195188</v>
      </c>
      <c r="G43" s="4">
        <v>190763</v>
      </c>
      <c r="H43" s="4">
        <v>187029</v>
      </c>
      <c r="I43" s="56">
        <v>183888</v>
      </c>
      <c r="J43" s="56">
        <v>180635</v>
      </c>
      <c r="K43" s="57">
        <v>177909</v>
      </c>
      <c r="L43" s="56">
        <v>173707</v>
      </c>
      <c r="M43" s="57">
        <v>171544</v>
      </c>
      <c r="N43" s="11">
        <v>170700</v>
      </c>
      <c r="O43" s="11">
        <v>168900</v>
      </c>
      <c r="P43" s="11">
        <v>167100</v>
      </c>
      <c r="Q43" s="11">
        <v>165400</v>
      </c>
      <c r="R43" s="11">
        <v>163800</v>
      </c>
      <c r="S43" s="11">
        <v>162500</v>
      </c>
      <c r="T43" s="11">
        <v>161200</v>
      </c>
      <c r="U43" s="11">
        <v>160100</v>
      </c>
      <c r="V43" s="11">
        <v>158900</v>
      </c>
      <c r="W43" s="11">
        <v>157500</v>
      </c>
      <c r="X43" s="11">
        <v>155900</v>
      </c>
      <c r="Y43" s="11">
        <v>154000</v>
      </c>
      <c r="Z43" s="11">
        <v>152000</v>
      </c>
      <c r="AA43" s="11">
        <v>149900</v>
      </c>
      <c r="AB43" s="11">
        <v>147600</v>
      </c>
      <c r="AC43" s="11">
        <v>145300</v>
      </c>
      <c r="AD43" s="11">
        <v>143100</v>
      </c>
      <c r="AE43" s="11">
        <v>141100</v>
      </c>
      <c r="AF43" s="11">
        <v>139200</v>
      </c>
      <c r="AG43" s="11">
        <v>137800</v>
      </c>
      <c r="AH43" s="11">
        <v>136800</v>
      </c>
      <c r="AI43" s="11">
        <v>136000</v>
      </c>
      <c r="AJ43" s="11">
        <v>135400</v>
      </c>
      <c r="AK43" s="11">
        <v>135300</v>
      </c>
      <c r="AL43" s="11">
        <v>135600</v>
      </c>
      <c r="AM43" s="11">
        <v>136200</v>
      </c>
      <c r="AN43" s="11">
        <v>137100</v>
      </c>
      <c r="AO43" s="11">
        <v>138000</v>
      </c>
    </row>
    <row r="44" spans="2:41" x14ac:dyDescent="0.25">
      <c r="B44" s="4">
        <v>15</v>
      </c>
      <c r="C44" s="4" t="s">
        <v>91</v>
      </c>
      <c r="D44" s="4">
        <v>140835</v>
      </c>
      <c r="E44" s="4">
        <v>137446</v>
      </c>
      <c r="F44" s="4">
        <v>134781</v>
      </c>
      <c r="G44" s="4">
        <v>130942</v>
      </c>
      <c r="H44" s="4">
        <v>128259</v>
      </c>
      <c r="I44" s="56">
        <v>126091</v>
      </c>
      <c r="J44" s="56">
        <v>123633</v>
      </c>
      <c r="K44" s="57">
        <v>121627</v>
      </c>
      <c r="L44" s="56">
        <v>119890</v>
      </c>
      <c r="M44" s="57">
        <v>117888</v>
      </c>
      <c r="N44" s="11">
        <v>117000</v>
      </c>
      <c r="O44" s="11">
        <v>115200</v>
      </c>
      <c r="P44" s="11">
        <v>113200</v>
      </c>
      <c r="Q44" s="11">
        <v>111200</v>
      </c>
      <c r="R44" s="11">
        <v>109300</v>
      </c>
      <c r="S44" s="11">
        <v>107400</v>
      </c>
      <c r="T44" s="11">
        <v>105500</v>
      </c>
      <c r="U44" s="11">
        <v>103600</v>
      </c>
      <c r="V44" s="11">
        <v>101700</v>
      </c>
      <c r="W44" s="11">
        <v>99700</v>
      </c>
      <c r="X44" s="11">
        <v>97500</v>
      </c>
      <c r="Y44" s="11">
        <v>95300</v>
      </c>
      <c r="Z44" s="11">
        <v>93000</v>
      </c>
      <c r="AA44" s="11">
        <v>90400</v>
      </c>
      <c r="AB44" s="11">
        <v>87700</v>
      </c>
      <c r="AC44" s="11">
        <v>85100</v>
      </c>
      <c r="AD44" s="11">
        <v>82600</v>
      </c>
      <c r="AE44" s="11">
        <v>80300</v>
      </c>
      <c r="AF44" s="11">
        <v>78100</v>
      </c>
      <c r="AG44" s="11">
        <v>76100</v>
      </c>
      <c r="AH44" s="11">
        <v>74500</v>
      </c>
      <c r="AI44" s="11">
        <v>73000</v>
      </c>
      <c r="AJ44" s="11">
        <v>71800</v>
      </c>
      <c r="AK44" s="11">
        <v>70800</v>
      </c>
      <c r="AL44" s="11">
        <v>69900</v>
      </c>
      <c r="AM44" s="11">
        <v>69300</v>
      </c>
      <c r="AN44" s="11">
        <v>68700</v>
      </c>
      <c r="AO44" s="11">
        <v>68100</v>
      </c>
    </row>
    <row r="45" spans="2:41" x14ac:dyDescent="0.25">
      <c r="B45" s="4">
        <v>16</v>
      </c>
      <c r="C45" s="4" t="s">
        <v>92</v>
      </c>
      <c r="D45" s="4">
        <v>690323</v>
      </c>
      <c r="E45" s="4">
        <v>692135</v>
      </c>
      <c r="F45" s="4">
        <v>693511</v>
      </c>
      <c r="G45" s="4">
        <v>450248</v>
      </c>
      <c r="H45" s="4">
        <v>447371</v>
      </c>
      <c r="I45" s="56">
        <v>436976</v>
      </c>
      <c r="J45" s="56">
        <v>442665</v>
      </c>
      <c r="K45" s="57">
        <v>444486</v>
      </c>
      <c r="L45" s="56">
        <v>454612</v>
      </c>
      <c r="M45" s="57">
        <v>458485</v>
      </c>
      <c r="N45" s="11">
        <v>459800</v>
      </c>
      <c r="O45" s="11">
        <v>464100</v>
      </c>
      <c r="P45" s="11">
        <v>468300</v>
      </c>
      <c r="Q45" s="11">
        <v>472900</v>
      </c>
      <c r="R45" s="11">
        <v>477200</v>
      </c>
      <c r="S45" s="11">
        <v>481600</v>
      </c>
      <c r="T45" s="11">
        <v>486300</v>
      </c>
      <c r="U45" s="11">
        <v>491600</v>
      </c>
      <c r="V45" s="11">
        <v>496600</v>
      </c>
      <c r="W45" s="11">
        <v>500800</v>
      </c>
      <c r="X45" s="11">
        <v>504900</v>
      </c>
      <c r="Y45" s="11">
        <v>508800</v>
      </c>
      <c r="Z45" s="11">
        <v>512000</v>
      </c>
      <c r="AA45" s="11">
        <v>515799.99999999994</v>
      </c>
      <c r="AB45" s="11">
        <v>520299.99999999994</v>
      </c>
      <c r="AC45" s="11">
        <v>524800</v>
      </c>
      <c r="AD45" s="11">
        <v>529400</v>
      </c>
      <c r="AE45" s="11">
        <v>534500</v>
      </c>
      <c r="AF45" s="11">
        <v>539900</v>
      </c>
      <c r="AG45" s="11">
        <v>546000</v>
      </c>
      <c r="AH45" s="11">
        <v>553100</v>
      </c>
      <c r="AI45" s="11">
        <v>561300</v>
      </c>
      <c r="AJ45" s="11">
        <v>571200</v>
      </c>
      <c r="AK45" s="11">
        <v>583400</v>
      </c>
      <c r="AL45" s="11">
        <v>598000</v>
      </c>
      <c r="AM45" s="11">
        <v>614700</v>
      </c>
      <c r="AN45" s="11">
        <v>632900</v>
      </c>
      <c r="AO45" s="11">
        <v>651900</v>
      </c>
    </row>
    <row r="46" spans="2:41" x14ac:dyDescent="0.25">
      <c r="B46" s="4">
        <v>17</v>
      </c>
      <c r="C46" s="4" t="s">
        <v>93</v>
      </c>
      <c r="D46" s="4"/>
      <c r="E46" s="4"/>
      <c r="F46" s="4"/>
      <c r="G46" s="4"/>
      <c r="H46" s="4"/>
      <c r="I46" s="57"/>
      <c r="J46" s="57"/>
      <c r="K46" s="57"/>
      <c r="L46" s="57">
        <v>49444</v>
      </c>
      <c r="M46" s="57">
        <v>48975</v>
      </c>
      <c r="N46" s="11">
        <v>48200</v>
      </c>
      <c r="O46" s="11">
        <v>47500</v>
      </c>
      <c r="P46" s="11">
        <v>46900</v>
      </c>
      <c r="Q46" s="11">
        <v>46400</v>
      </c>
      <c r="R46" s="11">
        <v>45900</v>
      </c>
      <c r="S46" s="11">
        <v>45500</v>
      </c>
      <c r="T46" s="11">
        <v>45200</v>
      </c>
      <c r="U46" s="11">
        <v>45100</v>
      </c>
      <c r="V46" s="11">
        <v>44900</v>
      </c>
      <c r="W46" s="11">
        <v>44700</v>
      </c>
      <c r="X46" s="11">
        <v>44500</v>
      </c>
      <c r="Y46" s="11">
        <v>44200</v>
      </c>
      <c r="Z46" s="11">
        <v>44100</v>
      </c>
      <c r="AA46" s="11">
        <v>44000</v>
      </c>
      <c r="AB46" s="11">
        <v>43900</v>
      </c>
      <c r="AC46" s="11">
        <v>43700</v>
      </c>
      <c r="AD46" s="11">
        <v>43500</v>
      </c>
      <c r="AE46" s="11">
        <v>43200</v>
      </c>
      <c r="AF46" s="11">
        <v>43000</v>
      </c>
      <c r="AG46" s="11">
        <v>42800</v>
      </c>
      <c r="AH46" s="11">
        <v>42600</v>
      </c>
      <c r="AI46" s="11">
        <v>42400</v>
      </c>
      <c r="AJ46" s="11">
        <v>42400</v>
      </c>
      <c r="AK46" s="11">
        <v>42500</v>
      </c>
      <c r="AL46" s="11">
        <v>42800</v>
      </c>
      <c r="AM46" s="11">
        <v>43300</v>
      </c>
      <c r="AN46" s="11">
        <v>43900</v>
      </c>
      <c r="AO46" s="11">
        <v>44500</v>
      </c>
    </row>
    <row r="47" spans="2:41" x14ac:dyDescent="0.25">
      <c r="B47" s="4">
        <v>18</v>
      </c>
      <c r="C47" s="4" t="s">
        <v>94</v>
      </c>
      <c r="D47" s="4">
        <v>470743</v>
      </c>
      <c r="E47" s="4">
        <v>506131</v>
      </c>
      <c r="F47" s="4">
        <v>522434</v>
      </c>
      <c r="G47" s="4">
        <v>533589</v>
      </c>
      <c r="H47" s="4">
        <v>544952</v>
      </c>
      <c r="I47" s="55">
        <v>555014</v>
      </c>
      <c r="J47" s="56">
        <v>565943</v>
      </c>
      <c r="K47" s="57">
        <v>578854</v>
      </c>
      <c r="L47" s="56">
        <v>564151</v>
      </c>
      <c r="M47" s="57">
        <v>583729</v>
      </c>
      <c r="N47" s="11">
        <v>588500</v>
      </c>
      <c r="O47" s="11">
        <v>605100</v>
      </c>
      <c r="P47" s="11">
        <v>621300</v>
      </c>
      <c r="Q47" s="11">
        <v>637000</v>
      </c>
      <c r="R47" s="11">
        <v>652900</v>
      </c>
      <c r="S47" s="11">
        <v>669300</v>
      </c>
      <c r="T47" s="11">
        <v>685900</v>
      </c>
      <c r="U47" s="11">
        <v>702400</v>
      </c>
      <c r="V47" s="11">
        <v>718400</v>
      </c>
      <c r="W47" s="11">
        <v>733600</v>
      </c>
      <c r="X47" s="11">
        <v>748200</v>
      </c>
      <c r="Y47" s="11">
        <v>763000</v>
      </c>
      <c r="Z47" s="11">
        <v>778900</v>
      </c>
      <c r="AA47" s="11">
        <v>794900</v>
      </c>
      <c r="AB47" s="11">
        <v>806200</v>
      </c>
      <c r="AC47" s="11">
        <v>813300</v>
      </c>
      <c r="AD47" s="11">
        <v>820600</v>
      </c>
      <c r="AE47" s="11">
        <v>828400</v>
      </c>
      <c r="AF47" s="11">
        <v>836300</v>
      </c>
      <c r="AG47" s="11">
        <v>844600</v>
      </c>
      <c r="AH47" s="11">
        <v>853500</v>
      </c>
      <c r="AI47" s="11">
        <v>862600</v>
      </c>
      <c r="AJ47" s="11">
        <v>872000</v>
      </c>
      <c r="AK47" s="11">
        <v>882200</v>
      </c>
      <c r="AL47" s="11">
        <v>893100</v>
      </c>
      <c r="AM47" s="11">
        <v>904000</v>
      </c>
      <c r="AN47" s="11">
        <v>914500</v>
      </c>
      <c r="AO47" s="11">
        <v>923800</v>
      </c>
    </row>
    <row r="48" spans="2:41" x14ac:dyDescent="0.25">
      <c r="B48" s="4">
        <v>19</v>
      </c>
      <c r="C48" s="4" t="s">
        <v>95</v>
      </c>
      <c r="D48" s="4">
        <v>251636</v>
      </c>
      <c r="E48" s="4">
        <v>256555</v>
      </c>
      <c r="F48" s="4">
        <v>255009</v>
      </c>
      <c r="G48" s="4">
        <v>282695</v>
      </c>
      <c r="H48" s="4">
        <v>294557</v>
      </c>
      <c r="I48" s="55">
        <v>301185</v>
      </c>
      <c r="J48" s="56">
        <v>310780</v>
      </c>
      <c r="K48" s="57">
        <v>317926</v>
      </c>
      <c r="L48" s="56">
        <v>356123</v>
      </c>
      <c r="M48" s="57">
        <v>373335</v>
      </c>
      <c r="N48" s="11">
        <v>377900</v>
      </c>
      <c r="O48" s="11">
        <v>392500</v>
      </c>
      <c r="P48" s="11">
        <v>406700</v>
      </c>
      <c r="Q48" s="11">
        <v>421000</v>
      </c>
      <c r="R48" s="11">
        <v>435500</v>
      </c>
      <c r="S48" s="11">
        <v>450000</v>
      </c>
      <c r="T48" s="11">
        <v>464400</v>
      </c>
      <c r="U48" s="11">
        <v>478900</v>
      </c>
      <c r="V48" s="11">
        <v>493200</v>
      </c>
      <c r="W48" s="11">
        <v>507000</v>
      </c>
      <c r="X48" s="11">
        <v>520100</v>
      </c>
      <c r="Y48" s="11">
        <v>532800</v>
      </c>
      <c r="Z48" s="11">
        <v>545100</v>
      </c>
      <c r="AA48" s="11">
        <v>557200</v>
      </c>
      <c r="AB48" s="11">
        <v>567700</v>
      </c>
      <c r="AC48" s="11">
        <v>576600</v>
      </c>
      <c r="AD48" s="11">
        <v>585400</v>
      </c>
      <c r="AE48" s="11">
        <v>594300</v>
      </c>
      <c r="AF48" s="11">
        <v>603200</v>
      </c>
      <c r="AG48" s="11">
        <v>611900</v>
      </c>
      <c r="AH48" s="11">
        <v>620800</v>
      </c>
      <c r="AI48" s="11">
        <v>630100</v>
      </c>
      <c r="AJ48" s="11">
        <v>639800</v>
      </c>
      <c r="AK48" s="11">
        <v>650100</v>
      </c>
      <c r="AL48" s="11">
        <v>661000</v>
      </c>
      <c r="AM48" s="11">
        <v>672300</v>
      </c>
      <c r="AN48" s="11">
        <v>684000</v>
      </c>
      <c r="AO48" s="11">
        <v>696300</v>
      </c>
    </row>
    <row r="49" spans="2:41" x14ac:dyDescent="0.25">
      <c r="B49" s="4">
        <v>20</v>
      </c>
      <c r="C49" s="4" t="s">
        <v>96</v>
      </c>
      <c r="D49" s="4"/>
      <c r="E49" s="4"/>
      <c r="F49" s="4"/>
      <c r="G49" s="4">
        <v>240884</v>
      </c>
      <c r="H49" s="4">
        <v>247945</v>
      </c>
      <c r="I49" s="55">
        <v>266368</v>
      </c>
      <c r="J49" s="56">
        <v>268399</v>
      </c>
      <c r="K49" s="57">
        <v>272924</v>
      </c>
      <c r="L49" s="56">
        <v>286026</v>
      </c>
      <c r="M49" s="57">
        <v>291378</v>
      </c>
      <c r="N49" s="11">
        <v>299000</v>
      </c>
      <c r="O49" s="11">
        <v>308100</v>
      </c>
      <c r="P49" s="11">
        <v>317200</v>
      </c>
      <c r="Q49" s="11">
        <v>326400</v>
      </c>
      <c r="R49" s="11">
        <v>336000</v>
      </c>
      <c r="S49" s="11">
        <v>345600</v>
      </c>
      <c r="T49" s="11">
        <v>355400</v>
      </c>
      <c r="U49" s="11">
        <v>365300</v>
      </c>
      <c r="V49" s="11">
        <v>375200</v>
      </c>
      <c r="W49" s="11">
        <v>384700</v>
      </c>
      <c r="X49" s="11">
        <v>394000</v>
      </c>
      <c r="Y49" s="11">
        <v>403900</v>
      </c>
      <c r="Z49" s="11">
        <v>416000</v>
      </c>
      <c r="AA49" s="11">
        <v>430400</v>
      </c>
      <c r="AB49" s="11">
        <v>441400</v>
      </c>
      <c r="AC49" s="11">
        <v>448500</v>
      </c>
      <c r="AD49" s="11">
        <v>455600</v>
      </c>
      <c r="AE49" s="11">
        <v>462900</v>
      </c>
      <c r="AF49" s="11">
        <v>470100</v>
      </c>
      <c r="AG49" s="11">
        <v>477400</v>
      </c>
      <c r="AH49" s="11">
        <v>485000</v>
      </c>
      <c r="AI49" s="11">
        <v>492900</v>
      </c>
      <c r="AJ49" s="11">
        <v>501000</v>
      </c>
      <c r="AK49" s="11">
        <v>509700</v>
      </c>
      <c r="AL49" s="11">
        <v>519200.00000000006</v>
      </c>
      <c r="AM49" s="11">
        <v>529200</v>
      </c>
      <c r="AN49" s="11">
        <v>539700</v>
      </c>
      <c r="AO49" s="11">
        <v>550400</v>
      </c>
    </row>
    <row r="50" spans="2:41" x14ac:dyDescent="0.25">
      <c r="B50" s="4"/>
      <c r="C50" s="4" t="s">
        <v>97</v>
      </c>
      <c r="D50" s="79">
        <v>4580808</v>
      </c>
      <c r="E50" s="79">
        <v>4565530</v>
      </c>
      <c r="F50" s="79">
        <v>4554026</v>
      </c>
      <c r="G50" s="79">
        <v>4543097</v>
      </c>
      <c r="H50" s="79">
        <v>4540872</v>
      </c>
      <c r="I50" s="79">
        <v>4537255</v>
      </c>
      <c r="J50" s="79">
        <v>4541587</v>
      </c>
      <c r="K50" s="79">
        <v>4546007</v>
      </c>
      <c r="L50" s="79">
        <v>4583269</v>
      </c>
      <c r="M50" s="79">
        <v>4621719</v>
      </c>
      <c r="N50" s="79">
        <v>4648400</v>
      </c>
      <c r="O50" s="79">
        <v>4698900</v>
      </c>
      <c r="P50" s="79">
        <v>4748500</v>
      </c>
      <c r="Q50" s="79">
        <v>4798900</v>
      </c>
      <c r="R50" s="79">
        <v>4851600</v>
      </c>
      <c r="S50" s="79">
        <v>4906600</v>
      </c>
      <c r="T50" s="79">
        <v>4964200</v>
      </c>
      <c r="U50" s="79">
        <v>5025200</v>
      </c>
      <c r="V50" s="79">
        <v>5084400</v>
      </c>
      <c r="W50" s="79">
        <v>5138200</v>
      </c>
      <c r="X50" s="79">
        <v>5188200</v>
      </c>
      <c r="Y50" s="79">
        <v>5235700</v>
      </c>
      <c r="Z50" s="79">
        <v>5284100</v>
      </c>
      <c r="AA50" s="79">
        <v>5336800</v>
      </c>
      <c r="AB50" s="79">
        <v>5377400</v>
      </c>
      <c r="AC50" s="79">
        <v>5403600</v>
      </c>
      <c r="AD50" s="79">
        <v>5431600</v>
      </c>
      <c r="AE50" s="79">
        <v>5463200</v>
      </c>
      <c r="AF50" s="79">
        <v>5497900</v>
      </c>
      <c r="AG50" s="79">
        <v>5537100</v>
      </c>
      <c r="AH50" s="79">
        <v>5584800</v>
      </c>
      <c r="AI50" s="79">
        <v>5639700</v>
      </c>
      <c r="AJ50" s="79">
        <v>5704400</v>
      </c>
      <c r="AK50" s="79">
        <v>5783000</v>
      </c>
      <c r="AL50" s="79">
        <v>5874800</v>
      </c>
      <c r="AM50" s="79">
        <v>5976500</v>
      </c>
      <c r="AN50" s="79">
        <v>6087100</v>
      </c>
      <c r="AO50" s="79">
        <v>6202800</v>
      </c>
    </row>
    <row r="51" spans="2:41" x14ac:dyDescent="0.25">
      <c r="N51" s="113"/>
    </row>
    <row r="52" spans="2:41" x14ac:dyDescent="0.25">
      <c r="C52" s="108" t="s">
        <v>101</v>
      </c>
      <c r="L52" s="101"/>
      <c r="M52" s="101"/>
      <c r="N52" s="101"/>
      <c r="O52" s="101"/>
      <c r="P52" s="101"/>
      <c r="Q52" s="101"/>
      <c r="R52" s="101"/>
      <c r="S52" s="101"/>
      <c r="T52" s="101"/>
      <c r="U52" s="101"/>
    </row>
    <row r="53" spans="2:41" x14ac:dyDescent="0.25">
      <c r="B53" s="4"/>
      <c r="C53" s="4"/>
      <c r="D53" s="4"/>
      <c r="E53" s="4"/>
      <c r="F53" s="4"/>
      <c r="G53" s="4"/>
      <c r="H53" s="4"/>
      <c r="I53" s="211" t="s">
        <v>102</v>
      </c>
      <c r="J53" s="211"/>
      <c r="K53" s="211"/>
      <c r="L53" s="211"/>
      <c r="M53" s="211"/>
      <c r="N53" s="212" t="s">
        <v>103</v>
      </c>
      <c r="O53" s="212"/>
      <c r="P53" s="212"/>
      <c r="Q53" s="212"/>
      <c r="R53" s="212"/>
      <c r="S53" s="212"/>
      <c r="T53" s="212"/>
      <c r="U53" s="212"/>
    </row>
    <row r="54" spans="2:41" x14ac:dyDescent="0.25">
      <c r="B54" s="4" t="s">
        <v>75</v>
      </c>
      <c r="C54" s="4" t="s">
        <v>76</v>
      </c>
      <c r="D54" s="102">
        <v>2013</v>
      </c>
      <c r="E54" s="102">
        <v>2014</v>
      </c>
      <c r="F54" s="102">
        <v>2015</v>
      </c>
      <c r="G54" s="102">
        <v>2016</v>
      </c>
      <c r="H54" s="102">
        <v>2017</v>
      </c>
      <c r="I54" s="57">
        <v>2018</v>
      </c>
      <c r="J54" s="57">
        <v>2019</v>
      </c>
      <c r="K54" s="57">
        <v>2020</v>
      </c>
      <c r="L54" s="57">
        <v>2021</v>
      </c>
      <c r="M54" s="57">
        <v>2022</v>
      </c>
      <c r="N54" s="114">
        <v>2023</v>
      </c>
      <c r="O54" s="114">
        <v>2024</v>
      </c>
      <c r="P54" s="114">
        <v>2025</v>
      </c>
      <c r="Q54" s="114">
        <v>2026</v>
      </c>
      <c r="R54" s="114">
        <v>2027</v>
      </c>
      <c r="S54" s="114">
        <v>2028</v>
      </c>
      <c r="T54" s="114">
        <v>2029</v>
      </c>
      <c r="U54" s="114">
        <v>2030</v>
      </c>
      <c r="V54" s="115">
        <v>2031</v>
      </c>
      <c r="W54" s="115">
        <v>2032</v>
      </c>
      <c r="X54" s="115">
        <v>2033</v>
      </c>
      <c r="Y54" s="115">
        <v>2034</v>
      </c>
      <c r="Z54" s="115">
        <v>2035</v>
      </c>
      <c r="AA54" s="115">
        <v>2036</v>
      </c>
      <c r="AB54" s="115">
        <v>2037</v>
      </c>
      <c r="AC54" s="115">
        <v>2038</v>
      </c>
      <c r="AD54" s="115">
        <v>2039</v>
      </c>
      <c r="AE54" s="115">
        <v>2040</v>
      </c>
      <c r="AF54" s="114">
        <v>2041</v>
      </c>
      <c r="AG54" s="114">
        <v>2042</v>
      </c>
      <c r="AH54" s="114">
        <v>2043</v>
      </c>
      <c r="AI54" s="114">
        <v>2044</v>
      </c>
      <c r="AJ54" s="114">
        <v>2045</v>
      </c>
      <c r="AK54" s="114">
        <v>2046</v>
      </c>
      <c r="AL54" s="114">
        <v>2047</v>
      </c>
      <c r="AM54" s="114">
        <v>2048</v>
      </c>
      <c r="AN54" s="114">
        <v>2049</v>
      </c>
      <c r="AO54" s="114">
        <v>2050</v>
      </c>
    </row>
    <row r="55" spans="2:41" x14ac:dyDescent="0.25">
      <c r="B55" s="4">
        <v>1</v>
      </c>
      <c r="C55" s="4" t="s">
        <v>77</v>
      </c>
      <c r="D55" s="4"/>
      <c r="E55" s="4"/>
      <c r="F55" s="4"/>
      <c r="G55" s="4"/>
      <c r="H55" s="4"/>
      <c r="I55" s="57"/>
      <c r="J55" s="57"/>
      <c r="K55" s="57"/>
      <c r="L55" s="57">
        <v>186790</v>
      </c>
      <c r="M55" s="57">
        <v>188599</v>
      </c>
      <c r="N55" s="58">
        <v>197200</v>
      </c>
      <c r="O55" s="58">
        <v>198200.00000000003</v>
      </c>
      <c r="P55" s="58">
        <v>198500</v>
      </c>
      <c r="Q55" s="58">
        <v>197600.00000000003</v>
      </c>
      <c r="R55" s="58">
        <v>196100.00000000003</v>
      </c>
      <c r="S55" s="58">
        <v>194100.00000000003</v>
      </c>
      <c r="T55" s="58">
        <v>192500</v>
      </c>
      <c r="U55" s="58">
        <v>191000</v>
      </c>
      <c r="V55" s="58">
        <v>189800</v>
      </c>
      <c r="W55" s="58">
        <v>188800</v>
      </c>
      <c r="X55" s="58">
        <v>187700.00000000003</v>
      </c>
      <c r="Y55" s="58">
        <v>186800</v>
      </c>
      <c r="Z55" s="58">
        <v>186000</v>
      </c>
      <c r="AA55" s="58">
        <v>185400</v>
      </c>
      <c r="AB55" s="58">
        <v>185100</v>
      </c>
      <c r="AC55" s="58">
        <v>185000</v>
      </c>
      <c r="AD55" s="58">
        <v>184900</v>
      </c>
      <c r="AE55" s="58">
        <v>184600</v>
      </c>
      <c r="AF55" s="58">
        <v>184500</v>
      </c>
      <c r="AG55" s="58">
        <v>185200</v>
      </c>
      <c r="AH55" s="58">
        <v>186500</v>
      </c>
      <c r="AI55" s="58">
        <v>188500</v>
      </c>
      <c r="AJ55" s="58">
        <v>190600.00000000003</v>
      </c>
      <c r="AK55" s="58">
        <v>192800</v>
      </c>
      <c r="AL55" s="58">
        <v>195100.00000000003</v>
      </c>
      <c r="AM55" s="58">
        <v>197000</v>
      </c>
      <c r="AN55" s="58">
        <v>198700</v>
      </c>
      <c r="AO55" s="58">
        <v>200100.00000000003</v>
      </c>
    </row>
    <row r="56" spans="2:41" x14ac:dyDescent="0.25">
      <c r="B56" s="4">
        <v>2</v>
      </c>
      <c r="C56" s="4" t="s">
        <v>78</v>
      </c>
      <c r="D56" s="4">
        <v>195726</v>
      </c>
      <c r="E56" s="4">
        <v>196310</v>
      </c>
      <c r="F56" s="4">
        <v>199575</v>
      </c>
      <c r="G56" s="4">
        <v>196956</v>
      </c>
      <c r="H56" s="4">
        <v>201847</v>
      </c>
      <c r="I56" s="57">
        <v>204468</v>
      </c>
      <c r="J56" s="56">
        <v>205736</v>
      </c>
      <c r="K56" s="57">
        <v>206603</v>
      </c>
      <c r="L56" s="56">
        <v>223606</v>
      </c>
      <c r="M56" s="57">
        <v>223951</v>
      </c>
      <c r="N56" s="58">
        <v>234700</v>
      </c>
      <c r="O56" s="58">
        <v>234700</v>
      </c>
      <c r="P56" s="58">
        <v>234400</v>
      </c>
      <c r="Q56" s="58">
        <v>233200</v>
      </c>
      <c r="R56" s="58">
        <v>231000</v>
      </c>
      <c r="S56" s="58">
        <v>227700.00000000003</v>
      </c>
      <c r="T56" s="58">
        <v>224500</v>
      </c>
      <c r="U56" s="58">
        <v>221500</v>
      </c>
      <c r="V56" s="58">
        <v>218300</v>
      </c>
      <c r="W56" s="58">
        <v>215300</v>
      </c>
      <c r="X56" s="58">
        <v>212399.99999999997</v>
      </c>
      <c r="Y56" s="58">
        <v>209600</v>
      </c>
      <c r="Z56" s="58">
        <v>207200.00000000003</v>
      </c>
      <c r="AA56" s="58">
        <v>205500</v>
      </c>
      <c r="AB56" s="58">
        <v>204100</v>
      </c>
      <c r="AC56" s="58">
        <v>203600</v>
      </c>
      <c r="AD56" s="58">
        <v>204200</v>
      </c>
      <c r="AE56" s="58">
        <v>205200</v>
      </c>
      <c r="AF56" s="58">
        <v>205900</v>
      </c>
      <c r="AG56" s="58">
        <v>206100.00000000003</v>
      </c>
      <c r="AH56" s="58">
        <v>206700</v>
      </c>
      <c r="AI56" s="58">
        <v>207500</v>
      </c>
      <c r="AJ56" s="58">
        <v>208400</v>
      </c>
      <c r="AK56" s="58">
        <v>209300</v>
      </c>
      <c r="AL56" s="58">
        <v>210100.00000000003</v>
      </c>
      <c r="AM56" s="58">
        <v>210800</v>
      </c>
      <c r="AN56" s="58">
        <v>211300</v>
      </c>
      <c r="AO56" s="58">
        <v>211400</v>
      </c>
    </row>
    <row r="57" spans="2:41" x14ac:dyDescent="0.25">
      <c r="B57" s="4">
        <v>3</v>
      </c>
      <c r="C57" s="4" t="s">
        <v>79</v>
      </c>
      <c r="D57" s="4">
        <v>236549</v>
      </c>
      <c r="E57" s="4">
        <v>244227</v>
      </c>
      <c r="F57" s="4">
        <v>252884</v>
      </c>
      <c r="G57" s="4">
        <v>261241</v>
      </c>
      <c r="H57" s="4">
        <v>270167</v>
      </c>
      <c r="I57" s="57">
        <v>279070</v>
      </c>
      <c r="J57" s="56">
        <v>289000</v>
      </c>
      <c r="K57" s="57">
        <v>299873</v>
      </c>
      <c r="L57" s="56">
        <v>318565</v>
      </c>
      <c r="M57" s="57">
        <v>325473</v>
      </c>
      <c r="N57" s="58">
        <v>341200</v>
      </c>
      <c r="O57" s="58">
        <v>347300</v>
      </c>
      <c r="P57" s="58">
        <v>352200</v>
      </c>
      <c r="Q57" s="58">
        <v>355900.00000000006</v>
      </c>
      <c r="R57" s="58">
        <v>358200.00000000006</v>
      </c>
      <c r="S57" s="58">
        <v>359600</v>
      </c>
      <c r="T57" s="58">
        <v>360700.00000000006</v>
      </c>
      <c r="U57" s="58">
        <v>361600</v>
      </c>
      <c r="V57" s="58">
        <v>362700</v>
      </c>
      <c r="W57" s="58">
        <v>363700</v>
      </c>
      <c r="X57" s="58">
        <v>364700</v>
      </c>
      <c r="Y57" s="58">
        <v>365600</v>
      </c>
      <c r="Z57" s="58">
        <v>367200</v>
      </c>
      <c r="AA57" s="58">
        <v>369900</v>
      </c>
      <c r="AB57" s="58">
        <v>373200</v>
      </c>
      <c r="AC57" s="58">
        <v>376400</v>
      </c>
      <c r="AD57" s="58">
        <v>379600</v>
      </c>
      <c r="AE57" s="58">
        <v>382900</v>
      </c>
      <c r="AF57" s="58">
        <v>387299.99999999994</v>
      </c>
      <c r="AG57" s="58">
        <v>393700</v>
      </c>
      <c r="AH57" s="58">
        <v>401000</v>
      </c>
      <c r="AI57" s="58">
        <v>409100</v>
      </c>
      <c r="AJ57" s="58">
        <v>417900</v>
      </c>
      <c r="AK57" s="58">
        <v>427099.99999999994</v>
      </c>
      <c r="AL57" s="58">
        <v>436299.99999999994</v>
      </c>
      <c r="AM57" s="58">
        <v>445500</v>
      </c>
      <c r="AN57" s="58">
        <v>454500</v>
      </c>
      <c r="AO57" s="58">
        <v>462900</v>
      </c>
    </row>
    <row r="58" spans="2:41" x14ac:dyDescent="0.25">
      <c r="B58" s="4">
        <v>4</v>
      </c>
      <c r="C58" s="4" t="s">
        <v>80</v>
      </c>
      <c r="D58" s="4">
        <v>621293</v>
      </c>
      <c r="E58" s="4">
        <v>618279</v>
      </c>
      <c r="F58" s="4">
        <v>638491</v>
      </c>
      <c r="G58" s="4">
        <v>668697</v>
      </c>
      <c r="H58" s="4">
        <v>693883</v>
      </c>
      <c r="I58" s="57">
        <v>713049</v>
      </c>
      <c r="J58" s="56">
        <v>732169</v>
      </c>
      <c r="K58" s="57">
        <v>753539</v>
      </c>
      <c r="L58" s="56">
        <v>530377</v>
      </c>
      <c r="M58" s="57">
        <v>544506</v>
      </c>
      <c r="N58" s="58">
        <v>570099.99999999988</v>
      </c>
      <c r="O58" s="58">
        <v>581600</v>
      </c>
      <c r="P58" s="58">
        <v>590700</v>
      </c>
      <c r="Q58" s="58">
        <v>596300</v>
      </c>
      <c r="R58" s="58">
        <v>599000</v>
      </c>
      <c r="S58" s="58">
        <v>601599.99999999988</v>
      </c>
      <c r="T58" s="58">
        <v>605300</v>
      </c>
      <c r="U58" s="58">
        <v>609500</v>
      </c>
      <c r="V58" s="58">
        <v>614700</v>
      </c>
      <c r="W58" s="58">
        <v>621000</v>
      </c>
      <c r="X58" s="58">
        <v>627300</v>
      </c>
      <c r="Y58" s="58">
        <v>634600</v>
      </c>
      <c r="Z58" s="58">
        <v>643300</v>
      </c>
      <c r="AA58" s="58">
        <v>653300</v>
      </c>
      <c r="AB58" s="58">
        <v>664600</v>
      </c>
      <c r="AC58" s="58">
        <v>678600</v>
      </c>
      <c r="AD58" s="58">
        <v>695500</v>
      </c>
      <c r="AE58" s="58">
        <v>712900</v>
      </c>
      <c r="AF58" s="58">
        <v>728800</v>
      </c>
      <c r="AG58" s="58">
        <v>744300</v>
      </c>
      <c r="AH58" s="58">
        <v>761500</v>
      </c>
      <c r="AI58" s="58">
        <v>779700</v>
      </c>
      <c r="AJ58" s="58">
        <v>798500</v>
      </c>
      <c r="AK58" s="58">
        <v>817700</v>
      </c>
      <c r="AL58" s="58">
        <v>836800</v>
      </c>
      <c r="AM58" s="58">
        <v>855400.00000000012</v>
      </c>
      <c r="AN58" s="58">
        <v>873099.99999999988</v>
      </c>
      <c r="AO58" s="58">
        <v>890000</v>
      </c>
    </row>
    <row r="59" spans="2:41" x14ac:dyDescent="0.25">
      <c r="B59" s="4">
        <v>5</v>
      </c>
      <c r="C59" s="4" t="s">
        <v>81</v>
      </c>
      <c r="D59" s="4">
        <v>197151</v>
      </c>
      <c r="E59" s="4">
        <v>204750</v>
      </c>
      <c r="F59" s="4">
        <v>212760</v>
      </c>
      <c r="G59" s="4">
        <v>220884</v>
      </c>
      <c r="H59" s="4">
        <v>228960</v>
      </c>
      <c r="I59" s="57">
        <v>237167</v>
      </c>
      <c r="J59" s="56">
        <v>244722</v>
      </c>
      <c r="K59" s="57">
        <v>253333</v>
      </c>
      <c r="L59" s="56">
        <v>262387</v>
      </c>
      <c r="M59" s="57">
        <v>269592</v>
      </c>
      <c r="N59" s="58">
        <v>281600</v>
      </c>
      <c r="O59" s="58">
        <v>287500</v>
      </c>
      <c r="P59" s="58">
        <v>292400</v>
      </c>
      <c r="Q59" s="58">
        <v>296200</v>
      </c>
      <c r="R59" s="58">
        <v>299300</v>
      </c>
      <c r="S59" s="58">
        <v>301400</v>
      </c>
      <c r="T59" s="58">
        <v>303300</v>
      </c>
      <c r="U59" s="58">
        <v>305000</v>
      </c>
      <c r="V59" s="58">
        <v>306700.00000000006</v>
      </c>
      <c r="W59" s="58">
        <v>308600</v>
      </c>
      <c r="X59" s="58">
        <v>310600</v>
      </c>
      <c r="Y59" s="58">
        <v>313300</v>
      </c>
      <c r="Z59" s="58">
        <v>316400</v>
      </c>
      <c r="AA59" s="58">
        <v>320100</v>
      </c>
      <c r="AB59" s="58">
        <v>324299.99999999994</v>
      </c>
      <c r="AC59" s="58">
        <v>329000</v>
      </c>
      <c r="AD59" s="58">
        <v>333900</v>
      </c>
      <c r="AE59" s="58">
        <v>338800</v>
      </c>
      <c r="AF59" s="58">
        <v>344700</v>
      </c>
      <c r="AG59" s="58">
        <v>352000</v>
      </c>
      <c r="AH59" s="58">
        <v>360000</v>
      </c>
      <c r="AI59" s="58">
        <v>368700.00000000006</v>
      </c>
      <c r="AJ59" s="58">
        <v>378100</v>
      </c>
      <c r="AK59" s="58">
        <v>387600</v>
      </c>
      <c r="AL59" s="58">
        <v>397200</v>
      </c>
      <c r="AM59" s="58">
        <v>406700</v>
      </c>
      <c r="AN59" s="58">
        <v>416100</v>
      </c>
      <c r="AO59" s="58">
        <v>425100</v>
      </c>
    </row>
    <row r="60" spans="2:41" x14ac:dyDescent="0.25">
      <c r="B60" s="4">
        <v>6</v>
      </c>
      <c r="C60" s="4" t="s">
        <v>82</v>
      </c>
      <c r="D60" s="4">
        <v>339765</v>
      </c>
      <c r="E60" s="4">
        <v>344230</v>
      </c>
      <c r="F60" s="4">
        <v>350109</v>
      </c>
      <c r="G60" s="4">
        <v>353636</v>
      </c>
      <c r="H60" s="4">
        <v>357765</v>
      </c>
      <c r="I60" s="55">
        <v>361336</v>
      </c>
      <c r="J60" s="56">
        <v>364246</v>
      </c>
      <c r="K60" s="57">
        <v>369062</v>
      </c>
      <c r="L60" s="56">
        <v>183222</v>
      </c>
      <c r="M60" s="57">
        <v>183675</v>
      </c>
      <c r="N60" s="58">
        <v>192500</v>
      </c>
      <c r="O60" s="58">
        <v>192700</v>
      </c>
      <c r="P60" s="58">
        <v>192300</v>
      </c>
      <c r="Q60" s="58">
        <v>191000</v>
      </c>
      <c r="R60" s="58">
        <v>188800</v>
      </c>
      <c r="S60" s="58">
        <v>186300</v>
      </c>
      <c r="T60" s="58">
        <v>183700.00000000003</v>
      </c>
      <c r="U60" s="58">
        <v>181399.99999999997</v>
      </c>
      <c r="V60" s="58">
        <v>179400</v>
      </c>
      <c r="W60" s="58">
        <v>177200</v>
      </c>
      <c r="X60" s="58">
        <v>175200</v>
      </c>
      <c r="Y60" s="58">
        <v>173200</v>
      </c>
      <c r="Z60" s="58">
        <v>171600</v>
      </c>
      <c r="AA60" s="58">
        <v>170400</v>
      </c>
      <c r="AB60" s="58">
        <v>169400</v>
      </c>
      <c r="AC60" s="58">
        <v>168800</v>
      </c>
      <c r="AD60" s="58">
        <v>168200</v>
      </c>
      <c r="AE60" s="58">
        <v>167400</v>
      </c>
      <c r="AF60" s="58">
        <v>167200</v>
      </c>
      <c r="AG60" s="58">
        <v>167600</v>
      </c>
      <c r="AH60" s="58">
        <v>168400</v>
      </c>
      <c r="AI60" s="58">
        <v>169500</v>
      </c>
      <c r="AJ60" s="58">
        <v>170600.00000000003</v>
      </c>
      <c r="AK60" s="58">
        <v>171900</v>
      </c>
      <c r="AL60" s="58">
        <v>173200</v>
      </c>
      <c r="AM60" s="58">
        <v>174200</v>
      </c>
      <c r="AN60" s="58">
        <v>175000</v>
      </c>
      <c r="AO60" s="58">
        <v>175500</v>
      </c>
    </row>
    <row r="61" spans="2:41" x14ac:dyDescent="0.25">
      <c r="B61" s="4">
        <v>7</v>
      </c>
      <c r="C61" s="4" t="s">
        <v>83</v>
      </c>
      <c r="D61" s="4">
        <v>386186</v>
      </c>
      <c r="E61" s="4">
        <v>396373</v>
      </c>
      <c r="F61" s="4">
        <v>407278</v>
      </c>
      <c r="G61" s="4">
        <v>414727</v>
      </c>
      <c r="H61" s="4">
        <v>419948</v>
      </c>
      <c r="I61" s="56">
        <v>427388</v>
      </c>
      <c r="J61" s="111">
        <v>433070</v>
      </c>
      <c r="K61" s="57">
        <v>442276</v>
      </c>
      <c r="L61" s="56">
        <v>457058</v>
      </c>
      <c r="M61" s="57">
        <v>463618</v>
      </c>
      <c r="N61" s="58">
        <v>487300</v>
      </c>
      <c r="O61" s="58">
        <v>494600</v>
      </c>
      <c r="P61" s="58">
        <v>500600</v>
      </c>
      <c r="Q61" s="58">
        <v>505000</v>
      </c>
      <c r="R61" s="58">
        <v>507600</v>
      </c>
      <c r="S61" s="58">
        <v>510200</v>
      </c>
      <c r="T61" s="58">
        <v>514400.00000000012</v>
      </c>
      <c r="U61" s="58">
        <v>519600</v>
      </c>
      <c r="V61" s="58">
        <v>526600</v>
      </c>
      <c r="W61" s="58">
        <v>534600</v>
      </c>
      <c r="X61" s="58">
        <v>543400</v>
      </c>
      <c r="Y61" s="58">
        <v>553400</v>
      </c>
      <c r="Z61" s="58">
        <v>565300</v>
      </c>
      <c r="AA61" s="58">
        <v>578900</v>
      </c>
      <c r="AB61" s="58">
        <v>593800</v>
      </c>
      <c r="AC61" s="58">
        <v>609300</v>
      </c>
      <c r="AD61" s="58">
        <v>624900</v>
      </c>
      <c r="AE61" s="58">
        <v>639700</v>
      </c>
      <c r="AF61" s="58">
        <v>656000</v>
      </c>
      <c r="AG61" s="58">
        <v>674000</v>
      </c>
      <c r="AH61" s="58">
        <v>692800</v>
      </c>
      <c r="AI61" s="58">
        <v>711600</v>
      </c>
      <c r="AJ61" s="58">
        <v>730500</v>
      </c>
      <c r="AK61" s="58">
        <v>748900.00000000012</v>
      </c>
      <c r="AL61" s="58">
        <v>766900</v>
      </c>
      <c r="AM61" s="58">
        <v>784000</v>
      </c>
      <c r="AN61" s="58">
        <v>800200</v>
      </c>
      <c r="AO61" s="58">
        <v>815800</v>
      </c>
    </row>
    <row r="62" spans="2:41" x14ac:dyDescent="0.25">
      <c r="B62" s="4">
        <v>8</v>
      </c>
      <c r="C62" s="4" t="s">
        <v>84</v>
      </c>
      <c r="D62" s="4"/>
      <c r="E62" s="4"/>
      <c r="F62" s="4"/>
      <c r="G62" s="4"/>
      <c r="H62" s="4"/>
      <c r="I62" s="57"/>
      <c r="J62" s="57"/>
      <c r="K62" s="57"/>
      <c r="L62" s="57">
        <v>241220</v>
      </c>
      <c r="M62" s="57">
        <v>244667</v>
      </c>
      <c r="N62" s="58">
        <v>260299.99999999994</v>
      </c>
      <c r="O62" s="58">
        <v>266000</v>
      </c>
      <c r="P62" s="58">
        <v>270900</v>
      </c>
      <c r="Q62" s="58">
        <v>274700</v>
      </c>
      <c r="R62" s="58">
        <v>277100</v>
      </c>
      <c r="S62" s="58">
        <v>279300</v>
      </c>
      <c r="T62" s="58">
        <v>281799.99999999994</v>
      </c>
      <c r="U62" s="58">
        <v>284800</v>
      </c>
      <c r="V62" s="58">
        <v>288500</v>
      </c>
      <c r="W62" s="58">
        <v>292700.00000000006</v>
      </c>
      <c r="X62" s="58">
        <v>297500</v>
      </c>
      <c r="Y62" s="58">
        <v>302700</v>
      </c>
      <c r="Z62" s="58">
        <v>308799.99999999994</v>
      </c>
      <c r="AA62" s="58">
        <v>315300</v>
      </c>
      <c r="AB62" s="58">
        <v>322500</v>
      </c>
      <c r="AC62" s="58">
        <v>330200</v>
      </c>
      <c r="AD62" s="58">
        <v>338100</v>
      </c>
      <c r="AE62" s="58">
        <v>346000</v>
      </c>
      <c r="AF62" s="58">
        <v>354299.99999999994</v>
      </c>
      <c r="AG62" s="58">
        <v>363300</v>
      </c>
      <c r="AH62" s="58">
        <v>373200</v>
      </c>
      <c r="AI62" s="58">
        <v>383500</v>
      </c>
      <c r="AJ62" s="58">
        <v>393799.99999999994</v>
      </c>
      <c r="AK62" s="58">
        <v>404500</v>
      </c>
      <c r="AL62" s="58">
        <v>414900</v>
      </c>
      <c r="AM62" s="58">
        <v>425200</v>
      </c>
      <c r="AN62" s="58">
        <v>435099.99999999994</v>
      </c>
      <c r="AO62" s="58">
        <v>444600</v>
      </c>
    </row>
    <row r="63" spans="2:41" x14ac:dyDescent="0.25">
      <c r="B63" s="4">
        <v>9</v>
      </c>
      <c r="C63" s="4" t="s">
        <v>85</v>
      </c>
      <c r="D63" s="4">
        <v>170179</v>
      </c>
      <c r="E63" s="4">
        <v>174089</v>
      </c>
      <c r="F63" s="4">
        <v>178718</v>
      </c>
      <c r="G63" s="4">
        <v>182762</v>
      </c>
      <c r="H63" s="4">
        <v>188040</v>
      </c>
      <c r="I63" s="55">
        <v>193433</v>
      </c>
      <c r="J63" s="112">
        <v>198503</v>
      </c>
      <c r="K63" s="57">
        <v>203852</v>
      </c>
      <c r="L63" s="56">
        <v>211751</v>
      </c>
      <c r="M63" s="57">
        <v>215129</v>
      </c>
      <c r="N63" s="58">
        <v>225500</v>
      </c>
      <c r="O63" s="58">
        <v>228500</v>
      </c>
      <c r="P63" s="58">
        <v>230900</v>
      </c>
      <c r="Q63" s="58">
        <v>232600.00000000003</v>
      </c>
      <c r="R63" s="58">
        <v>233200</v>
      </c>
      <c r="S63" s="58">
        <v>233100.00000000003</v>
      </c>
      <c r="T63" s="58">
        <v>233100.00000000003</v>
      </c>
      <c r="U63" s="58">
        <v>233000</v>
      </c>
      <c r="V63" s="58">
        <v>233000</v>
      </c>
      <c r="W63" s="58">
        <v>232600.00000000003</v>
      </c>
      <c r="X63" s="58">
        <v>232200</v>
      </c>
      <c r="Y63" s="58">
        <v>231900</v>
      </c>
      <c r="Z63" s="58">
        <v>231700</v>
      </c>
      <c r="AA63" s="58">
        <v>232000</v>
      </c>
      <c r="AB63" s="58">
        <v>232500</v>
      </c>
      <c r="AC63" s="58">
        <v>233300</v>
      </c>
      <c r="AD63" s="58">
        <v>234100</v>
      </c>
      <c r="AE63" s="58">
        <v>234899.99999999997</v>
      </c>
      <c r="AF63" s="58">
        <v>236399.99999999997</v>
      </c>
      <c r="AG63" s="58">
        <v>239000</v>
      </c>
      <c r="AH63" s="58">
        <v>242100</v>
      </c>
      <c r="AI63" s="58">
        <v>245800</v>
      </c>
      <c r="AJ63" s="58">
        <v>249900</v>
      </c>
      <c r="AK63" s="58">
        <v>254300</v>
      </c>
      <c r="AL63" s="58">
        <v>258800</v>
      </c>
      <c r="AM63" s="58">
        <v>263300</v>
      </c>
      <c r="AN63" s="58">
        <v>267600</v>
      </c>
      <c r="AO63" s="58">
        <v>271799.99999999994</v>
      </c>
    </row>
    <row r="64" spans="2:41" x14ac:dyDescent="0.25">
      <c r="B64" s="4">
        <v>10</v>
      </c>
      <c r="C64" s="4" t="s">
        <v>86</v>
      </c>
      <c r="D64" s="4">
        <v>352791</v>
      </c>
      <c r="E64" s="4">
        <v>358588</v>
      </c>
      <c r="F64" s="4">
        <v>364933</v>
      </c>
      <c r="G64" s="4">
        <v>368194</v>
      </c>
      <c r="H64" s="4">
        <v>371724</v>
      </c>
      <c r="I64" s="56">
        <v>375503</v>
      </c>
      <c r="J64" s="56">
        <v>380118</v>
      </c>
      <c r="K64" s="57">
        <v>385324</v>
      </c>
      <c r="L64" s="56">
        <v>316473</v>
      </c>
      <c r="M64" s="57">
        <v>317682</v>
      </c>
      <c r="N64" s="58">
        <v>333500</v>
      </c>
      <c r="O64" s="58">
        <v>334600</v>
      </c>
      <c r="P64" s="58">
        <v>334700</v>
      </c>
      <c r="Q64" s="58">
        <v>333800</v>
      </c>
      <c r="R64" s="58">
        <v>331700</v>
      </c>
      <c r="S64" s="58">
        <v>329000</v>
      </c>
      <c r="T64" s="58">
        <v>326100</v>
      </c>
      <c r="U64" s="58">
        <v>323200.00000000006</v>
      </c>
      <c r="V64" s="58">
        <v>320300</v>
      </c>
      <c r="W64" s="58">
        <v>317400</v>
      </c>
      <c r="X64" s="58">
        <v>314600</v>
      </c>
      <c r="Y64" s="58">
        <v>312000</v>
      </c>
      <c r="Z64" s="58">
        <v>310000</v>
      </c>
      <c r="AA64" s="58">
        <v>308800</v>
      </c>
      <c r="AB64" s="58">
        <v>308200</v>
      </c>
      <c r="AC64" s="58">
        <v>307700</v>
      </c>
      <c r="AD64" s="58">
        <v>307000</v>
      </c>
      <c r="AE64" s="58">
        <v>306200</v>
      </c>
      <c r="AF64" s="58">
        <v>305800</v>
      </c>
      <c r="AG64" s="58">
        <v>306400</v>
      </c>
      <c r="AH64" s="58">
        <v>307600</v>
      </c>
      <c r="AI64" s="58">
        <v>309100</v>
      </c>
      <c r="AJ64" s="58">
        <v>311000</v>
      </c>
      <c r="AK64" s="58">
        <v>313000</v>
      </c>
      <c r="AL64" s="58">
        <v>314900</v>
      </c>
      <c r="AM64" s="58">
        <v>316800</v>
      </c>
      <c r="AN64" s="58">
        <v>318300</v>
      </c>
      <c r="AO64" s="58">
        <v>319500</v>
      </c>
    </row>
    <row r="65" spans="2:41" x14ac:dyDescent="0.25">
      <c r="B65" s="4">
        <v>11</v>
      </c>
      <c r="C65" s="4" t="s">
        <v>87</v>
      </c>
      <c r="D65" s="4">
        <v>202003</v>
      </c>
      <c r="E65" s="4">
        <v>203228</v>
      </c>
      <c r="F65" s="4">
        <v>205275</v>
      </c>
      <c r="G65" s="4">
        <v>205593</v>
      </c>
      <c r="H65" s="4">
        <v>206141</v>
      </c>
      <c r="I65" s="56">
        <v>206555</v>
      </c>
      <c r="J65" s="56">
        <v>206490</v>
      </c>
      <c r="K65" s="57">
        <v>206996</v>
      </c>
      <c r="L65" s="56">
        <v>209313</v>
      </c>
      <c r="M65" s="57">
        <v>208302</v>
      </c>
      <c r="N65" s="58">
        <v>218900.00000000003</v>
      </c>
      <c r="O65" s="58">
        <v>218300</v>
      </c>
      <c r="P65" s="58">
        <v>217300</v>
      </c>
      <c r="Q65" s="58">
        <v>215700.00000000003</v>
      </c>
      <c r="R65" s="58">
        <v>213200</v>
      </c>
      <c r="S65" s="58">
        <v>210100</v>
      </c>
      <c r="T65" s="58">
        <v>206900</v>
      </c>
      <c r="U65" s="58">
        <v>203500</v>
      </c>
      <c r="V65" s="58">
        <v>200100.00000000003</v>
      </c>
      <c r="W65" s="58">
        <v>196600.00000000003</v>
      </c>
      <c r="X65" s="58">
        <v>193299.99999999997</v>
      </c>
      <c r="Y65" s="58">
        <v>190200</v>
      </c>
      <c r="Z65" s="58">
        <v>187100</v>
      </c>
      <c r="AA65" s="58">
        <v>184800</v>
      </c>
      <c r="AB65" s="58">
        <v>182799.99999999997</v>
      </c>
      <c r="AC65" s="58">
        <v>181000</v>
      </c>
      <c r="AD65" s="58">
        <v>179300</v>
      </c>
      <c r="AE65" s="58">
        <v>177600</v>
      </c>
      <c r="AF65" s="58">
        <v>176500</v>
      </c>
      <c r="AG65" s="58">
        <v>175200</v>
      </c>
      <c r="AH65" s="58">
        <v>174399.99999999997</v>
      </c>
      <c r="AI65" s="58">
        <v>173700</v>
      </c>
      <c r="AJ65" s="58">
        <v>173300</v>
      </c>
      <c r="AK65" s="58">
        <v>172800</v>
      </c>
      <c r="AL65" s="58">
        <v>172400</v>
      </c>
      <c r="AM65" s="58">
        <v>171900</v>
      </c>
      <c r="AN65" s="58">
        <v>171300</v>
      </c>
      <c r="AO65" s="58">
        <v>170500</v>
      </c>
    </row>
    <row r="66" spans="2:41" x14ac:dyDescent="0.25">
      <c r="B66" s="4">
        <v>12</v>
      </c>
      <c r="C66" s="4" t="s">
        <v>88</v>
      </c>
      <c r="D66" s="4">
        <v>269379</v>
      </c>
      <c r="E66" s="4">
        <v>275607</v>
      </c>
      <c r="F66" s="4">
        <v>282543</v>
      </c>
      <c r="G66" s="4">
        <v>287218</v>
      </c>
      <c r="H66" s="4">
        <v>293665</v>
      </c>
      <c r="I66" s="56">
        <v>300223</v>
      </c>
      <c r="J66" s="56">
        <v>306141</v>
      </c>
      <c r="K66" s="57">
        <v>315081</v>
      </c>
      <c r="L66" s="56">
        <v>323035</v>
      </c>
      <c r="M66" s="57">
        <v>330718</v>
      </c>
      <c r="N66" s="58">
        <v>344200</v>
      </c>
      <c r="O66" s="58">
        <v>349500</v>
      </c>
      <c r="P66" s="58">
        <v>353600</v>
      </c>
      <c r="Q66" s="58">
        <v>356000</v>
      </c>
      <c r="R66" s="58">
        <v>356900</v>
      </c>
      <c r="S66" s="58">
        <v>357400</v>
      </c>
      <c r="T66" s="58">
        <v>357799.99999999994</v>
      </c>
      <c r="U66" s="58">
        <v>358100</v>
      </c>
      <c r="V66" s="58">
        <v>359100</v>
      </c>
      <c r="W66" s="58">
        <v>360500</v>
      </c>
      <c r="X66" s="58">
        <v>362400</v>
      </c>
      <c r="Y66" s="58">
        <v>364599.99999999994</v>
      </c>
      <c r="Z66" s="58">
        <v>368000</v>
      </c>
      <c r="AA66" s="58">
        <v>372200.00000000006</v>
      </c>
      <c r="AB66" s="58">
        <v>377100</v>
      </c>
      <c r="AC66" s="58">
        <v>382400</v>
      </c>
      <c r="AD66" s="58">
        <v>387100</v>
      </c>
      <c r="AE66" s="58">
        <v>390400</v>
      </c>
      <c r="AF66" s="58">
        <v>395500</v>
      </c>
      <c r="AG66" s="58">
        <v>403500</v>
      </c>
      <c r="AH66" s="58">
        <v>412400</v>
      </c>
      <c r="AI66" s="58">
        <v>422000</v>
      </c>
      <c r="AJ66" s="58">
        <v>432299.99999999994</v>
      </c>
      <c r="AK66" s="58">
        <v>442600</v>
      </c>
      <c r="AL66" s="58">
        <v>452900</v>
      </c>
      <c r="AM66" s="58">
        <v>462900.00000000006</v>
      </c>
      <c r="AN66" s="58">
        <v>472400</v>
      </c>
      <c r="AO66" s="58">
        <v>481200.00000000006</v>
      </c>
    </row>
    <row r="67" spans="2:41" x14ac:dyDescent="0.25">
      <c r="B67" s="4">
        <v>13</v>
      </c>
      <c r="C67" s="4" t="s">
        <v>89</v>
      </c>
      <c r="D67" s="4">
        <v>214243</v>
      </c>
      <c r="E67" s="4">
        <v>224547</v>
      </c>
      <c r="F67" s="4">
        <v>235868</v>
      </c>
      <c r="G67" s="4">
        <v>245313</v>
      </c>
      <c r="H67" s="4">
        <v>255957</v>
      </c>
      <c r="I67" s="56">
        <v>266615</v>
      </c>
      <c r="J67" s="56">
        <v>278347</v>
      </c>
      <c r="K67" s="57">
        <v>291145</v>
      </c>
      <c r="L67" s="56">
        <v>310483</v>
      </c>
      <c r="M67" s="57">
        <v>320939</v>
      </c>
      <c r="N67" s="58">
        <v>335099.99999999994</v>
      </c>
      <c r="O67" s="58">
        <v>344000</v>
      </c>
      <c r="P67" s="58">
        <v>352000</v>
      </c>
      <c r="Q67" s="58">
        <v>359000</v>
      </c>
      <c r="R67" s="58">
        <v>365100</v>
      </c>
      <c r="S67" s="58">
        <v>370900</v>
      </c>
      <c r="T67" s="58">
        <v>377000</v>
      </c>
      <c r="U67" s="58">
        <v>383000</v>
      </c>
      <c r="V67" s="58">
        <v>389000</v>
      </c>
      <c r="W67" s="58">
        <v>395000</v>
      </c>
      <c r="X67" s="58">
        <v>401000</v>
      </c>
      <c r="Y67" s="58">
        <v>407800</v>
      </c>
      <c r="Z67" s="58">
        <v>415299.99999999994</v>
      </c>
      <c r="AA67" s="58">
        <v>423800</v>
      </c>
      <c r="AB67" s="58">
        <v>433500</v>
      </c>
      <c r="AC67" s="58">
        <v>443799.99999999994</v>
      </c>
      <c r="AD67" s="58">
        <v>454300</v>
      </c>
      <c r="AE67" s="58">
        <v>464500</v>
      </c>
      <c r="AF67" s="58">
        <v>476500</v>
      </c>
      <c r="AG67" s="58">
        <v>490800.00000000006</v>
      </c>
      <c r="AH67" s="58">
        <v>506000</v>
      </c>
      <c r="AI67" s="58">
        <v>522000</v>
      </c>
      <c r="AJ67" s="58">
        <v>538400.00000000012</v>
      </c>
      <c r="AK67" s="58">
        <v>555200</v>
      </c>
      <c r="AL67" s="58">
        <v>572100</v>
      </c>
      <c r="AM67" s="58">
        <v>589000</v>
      </c>
      <c r="AN67" s="58">
        <v>605700</v>
      </c>
      <c r="AO67" s="58">
        <v>622200</v>
      </c>
    </row>
    <row r="68" spans="2:41" x14ac:dyDescent="0.25">
      <c r="B68" s="4">
        <v>14</v>
      </c>
      <c r="C68" s="4" t="s">
        <v>90</v>
      </c>
      <c r="D68" s="4">
        <v>182825</v>
      </c>
      <c r="E68" s="4">
        <v>185856</v>
      </c>
      <c r="F68" s="4">
        <v>189592</v>
      </c>
      <c r="G68" s="4">
        <v>191829</v>
      </c>
      <c r="H68" s="4">
        <v>194042</v>
      </c>
      <c r="I68" s="56">
        <v>196449</v>
      </c>
      <c r="J68" s="56">
        <v>199123</v>
      </c>
      <c r="K68" s="57">
        <v>201681</v>
      </c>
      <c r="L68" s="56">
        <v>205518</v>
      </c>
      <c r="M68" s="57">
        <v>205745</v>
      </c>
      <c r="N68" s="58">
        <v>215700</v>
      </c>
      <c r="O68" s="58">
        <v>216000</v>
      </c>
      <c r="P68" s="58">
        <v>215700</v>
      </c>
      <c r="Q68" s="58">
        <v>214600.00000000003</v>
      </c>
      <c r="R68" s="58">
        <v>212500</v>
      </c>
      <c r="S68" s="58">
        <v>209900</v>
      </c>
      <c r="T68" s="58">
        <v>207600</v>
      </c>
      <c r="U68" s="58">
        <v>205200</v>
      </c>
      <c r="V68" s="58">
        <v>202500</v>
      </c>
      <c r="W68" s="58">
        <v>200000</v>
      </c>
      <c r="X68" s="58">
        <v>197500</v>
      </c>
      <c r="Y68" s="58">
        <v>195400</v>
      </c>
      <c r="Z68" s="58">
        <v>193500</v>
      </c>
      <c r="AA68" s="58">
        <v>192200</v>
      </c>
      <c r="AB68" s="58">
        <v>191300</v>
      </c>
      <c r="AC68" s="58">
        <v>190700</v>
      </c>
      <c r="AD68" s="58">
        <v>190400</v>
      </c>
      <c r="AE68" s="58">
        <v>190200</v>
      </c>
      <c r="AF68" s="58">
        <v>190400</v>
      </c>
      <c r="AG68" s="58">
        <v>190800</v>
      </c>
      <c r="AH68" s="58">
        <v>191700</v>
      </c>
      <c r="AI68" s="58">
        <v>192700</v>
      </c>
      <c r="AJ68" s="58">
        <v>193899.99999999997</v>
      </c>
      <c r="AK68" s="58">
        <v>195200</v>
      </c>
      <c r="AL68" s="58">
        <v>196399.99999999997</v>
      </c>
      <c r="AM68" s="58">
        <v>197500</v>
      </c>
      <c r="AN68" s="58">
        <v>198300</v>
      </c>
      <c r="AO68" s="58">
        <v>199000</v>
      </c>
    </row>
    <row r="69" spans="2:41" x14ac:dyDescent="0.25">
      <c r="B69" s="4">
        <v>15</v>
      </c>
      <c r="C69" s="4" t="s">
        <v>91</v>
      </c>
      <c r="D69" s="4">
        <v>136324</v>
      </c>
      <c r="E69" s="4">
        <v>136068</v>
      </c>
      <c r="F69" s="4">
        <v>136495</v>
      </c>
      <c r="G69" s="4">
        <v>136235</v>
      </c>
      <c r="H69" s="4">
        <v>136279</v>
      </c>
      <c r="I69" s="56">
        <v>135793</v>
      </c>
      <c r="J69" s="56">
        <v>134969</v>
      </c>
      <c r="K69" s="57">
        <v>134454</v>
      </c>
      <c r="L69" s="56">
        <v>129590</v>
      </c>
      <c r="M69" s="57">
        <v>128365</v>
      </c>
      <c r="N69" s="58">
        <v>134900</v>
      </c>
      <c r="O69" s="58">
        <v>133700</v>
      </c>
      <c r="P69" s="58">
        <v>132300</v>
      </c>
      <c r="Q69" s="58">
        <v>130600</v>
      </c>
      <c r="R69" s="58">
        <v>128199.99999999999</v>
      </c>
      <c r="S69" s="58">
        <v>125500</v>
      </c>
      <c r="T69" s="58">
        <v>122800.00000000001</v>
      </c>
      <c r="U69" s="58">
        <v>120399.99999999999</v>
      </c>
      <c r="V69" s="58">
        <v>117800</v>
      </c>
      <c r="W69" s="58">
        <v>115199.99999999999</v>
      </c>
      <c r="X69" s="58">
        <v>112700</v>
      </c>
      <c r="Y69" s="58">
        <v>110600</v>
      </c>
      <c r="Z69" s="58">
        <v>108400</v>
      </c>
      <c r="AA69" s="58">
        <v>106500</v>
      </c>
      <c r="AB69" s="58">
        <v>104900</v>
      </c>
      <c r="AC69" s="58">
        <v>103500</v>
      </c>
      <c r="AD69" s="58">
        <v>102400</v>
      </c>
      <c r="AE69" s="58">
        <v>101500</v>
      </c>
      <c r="AF69" s="58">
        <v>100500</v>
      </c>
      <c r="AG69" s="58">
        <v>99400</v>
      </c>
      <c r="AH69" s="58">
        <v>98400</v>
      </c>
      <c r="AI69" s="58">
        <v>97500</v>
      </c>
      <c r="AJ69" s="58">
        <v>96600</v>
      </c>
      <c r="AK69" s="58">
        <v>95800</v>
      </c>
      <c r="AL69" s="58">
        <v>94900</v>
      </c>
      <c r="AM69" s="58">
        <v>94000</v>
      </c>
      <c r="AN69" s="58">
        <v>92800.000000000015</v>
      </c>
      <c r="AO69" s="58">
        <v>91600</v>
      </c>
    </row>
    <row r="70" spans="2:41" x14ac:dyDescent="0.25">
      <c r="B70" s="4">
        <v>16</v>
      </c>
      <c r="C70" s="4" t="s">
        <v>92</v>
      </c>
      <c r="D70" s="4">
        <v>1080266</v>
      </c>
      <c r="E70" s="4">
        <v>1108606</v>
      </c>
      <c r="F70" s="4">
        <v>1140853</v>
      </c>
      <c r="G70" s="4">
        <v>831998</v>
      </c>
      <c r="H70" s="4">
        <v>841032</v>
      </c>
      <c r="I70" s="56">
        <v>852684</v>
      </c>
      <c r="J70" s="56">
        <v>869454</v>
      </c>
      <c r="K70" s="57">
        <v>889872</v>
      </c>
      <c r="L70" s="56">
        <v>899220</v>
      </c>
      <c r="M70" s="57">
        <v>917511</v>
      </c>
      <c r="N70" s="58">
        <v>957599.99999999988</v>
      </c>
      <c r="O70" s="58">
        <v>970599.99999999988</v>
      </c>
      <c r="P70" s="58">
        <v>981400.00000000012</v>
      </c>
      <c r="Q70" s="58">
        <v>988600</v>
      </c>
      <c r="R70" s="58">
        <v>992700</v>
      </c>
      <c r="S70" s="58">
        <v>997000</v>
      </c>
      <c r="T70" s="58">
        <v>1003000</v>
      </c>
      <c r="U70" s="58">
        <v>1009900</v>
      </c>
      <c r="V70" s="58">
        <v>1019100</v>
      </c>
      <c r="W70" s="58">
        <v>1030400.0000000001</v>
      </c>
      <c r="X70" s="58">
        <v>1043900.0000000001</v>
      </c>
      <c r="Y70" s="58">
        <v>1059000</v>
      </c>
      <c r="Z70" s="58">
        <v>1076500</v>
      </c>
      <c r="AA70" s="58">
        <v>1097200</v>
      </c>
      <c r="AB70" s="58">
        <v>1119300.0000000002</v>
      </c>
      <c r="AC70" s="58">
        <v>1143000</v>
      </c>
      <c r="AD70" s="58">
        <v>1169200</v>
      </c>
      <c r="AE70" s="58">
        <v>1195900</v>
      </c>
      <c r="AF70" s="58">
        <v>1222500</v>
      </c>
      <c r="AG70" s="58">
        <v>1250500</v>
      </c>
      <c r="AH70" s="58">
        <v>1280199.9999999998</v>
      </c>
      <c r="AI70" s="58">
        <v>1310900</v>
      </c>
      <c r="AJ70" s="58">
        <v>1342200</v>
      </c>
      <c r="AK70" s="58">
        <v>1373300.0000000002</v>
      </c>
      <c r="AL70" s="58">
        <v>1403800</v>
      </c>
      <c r="AM70" s="58">
        <v>1433200</v>
      </c>
      <c r="AN70" s="58">
        <v>1461300</v>
      </c>
      <c r="AO70" s="58">
        <v>1488100</v>
      </c>
    </row>
    <row r="71" spans="2:41" x14ac:dyDescent="0.25">
      <c r="B71" s="4">
        <v>17</v>
      </c>
      <c r="C71" s="4" t="s">
        <v>93</v>
      </c>
      <c r="D71" s="4"/>
      <c r="E71" s="4"/>
      <c r="F71" s="4"/>
      <c r="G71" s="4"/>
      <c r="H71" s="4"/>
      <c r="I71" s="57"/>
      <c r="J71" s="57"/>
      <c r="K71" s="57"/>
      <c r="L71" s="57">
        <v>73370</v>
      </c>
      <c r="M71" s="57">
        <v>74749</v>
      </c>
      <c r="N71" s="58">
        <v>78000</v>
      </c>
      <c r="O71" s="58">
        <v>78899.999999999985</v>
      </c>
      <c r="P71" s="58">
        <v>79600</v>
      </c>
      <c r="Q71" s="58">
        <v>80000</v>
      </c>
      <c r="R71" s="58">
        <v>80100</v>
      </c>
      <c r="S71" s="58">
        <v>79900</v>
      </c>
      <c r="T71" s="58">
        <v>79800</v>
      </c>
      <c r="U71" s="58">
        <v>79400</v>
      </c>
      <c r="V71" s="58">
        <v>79100</v>
      </c>
      <c r="W71" s="58">
        <v>78800</v>
      </c>
      <c r="X71" s="58">
        <v>78500</v>
      </c>
      <c r="Y71" s="58">
        <v>78199.999999999985</v>
      </c>
      <c r="Z71" s="58">
        <v>78200</v>
      </c>
      <c r="AA71" s="58">
        <v>78199.999999999985</v>
      </c>
      <c r="AB71" s="58">
        <v>78200</v>
      </c>
      <c r="AC71" s="58">
        <v>78400</v>
      </c>
      <c r="AD71" s="58">
        <v>78600</v>
      </c>
      <c r="AE71" s="58">
        <v>78800</v>
      </c>
      <c r="AF71" s="58">
        <v>79100</v>
      </c>
      <c r="AG71" s="58">
        <v>79700</v>
      </c>
      <c r="AH71" s="58">
        <v>80600</v>
      </c>
      <c r="AI71" s="58">
        <v>81600</v>
      </c>
      <c r="AJ71" s="58">
        <v>82800.000000000015</v>
      </c>
      <c r="AK71" s="58">
        <v>84000</v>
      </c>
      <c r="AL71" s="58">
        <v>85200</v>
      </c>
      <c r="AM71" s="58">
        <v>86400</v>
      </c>
      <c r="AN71" s="58">
        <v>87600</v>
      </c>
      <c r="AO71" s="58">
        <v>88600</v>
      </c>
    </row>
    <row r="72" spans="2:41" x14ac:dyDescent="0.25">
      <c r="B72" s="4">
        <v>18</v>
      </c>
      <c r="C72" s="4" t="s">
        <v>94</v>
      </c>
      <c r="D72" s="4">
        <v>344785</v>
      </c>
      <c r="E72" s="4">
        <v>384871</v>
      </c>
      <c r="F72" s="4">
        <v>406190</v>
      </c>
      <c r="G72" s="4">
        <v>425031</v>
      </c>
      <c r="H72" s="4">
        <v>446219</v>
      </c>
      <c r="I72" s="55">
        <v>470466</v>
      </c>
      <c r="J72" s="56">
        <v>499471</v>
      </c>
      <c r="K72" s="57">
        <v>527739</v>
      </c>
      <c r="L72" s="56">
        <v>638452</v>
      </c>
      <c r="M72" s="57">
        <v>647261</v>
      </c>
      <c r="N72" s="58">
        <v>678700</v>
      </c>
      <c r="O72" s="58">
        <v>687400</v>
      </c>
      <c r="P72" s="58">
        <v>697100</v>
      </c>
      <c r="Q72" s="58">
        <v>705900.00000000012</v>
      </c>
      <c r="R72" s="58">
        <v>712599.99999999988</v>
      </c>
      <c r="S72" s="58">
        <v>718800</v>
      </c>
      <c r="T72" s="58">
        <v>725699.99999999988</v>
      </c>
      <c r="U72" s="58">
        <v>732800</v>
      </c>
      <c r="V72" s="58">
        <v>739800</v>
      </c>
      <c r="W72" s="58">
        <v>746400</v>
      </c>
      <c r="X72" s="58">
        <v>752200</v>
      </c>
      <c r="Y72" s="58">
        <v>757700</v>
      </c>
      <c r="Z72" s="58">
        <v>763500</v>
      </c>
      <c r="AA72" s="58">
        <v>770100</v>
      </c>
      <c r="AB72" s="58">
        <v>777900</v>
      </c>
      <c r="AC72" s="58">
        <v>783600</v>
      </c>
      <c r="AD72" s="58">
        <v>784900</v>
      </c>
      <c r="AE72" s="58">
        <v>784500</v>
      </c>
      <c r="AF72" s="58">
        <v>791800</v>
      </c>
      <c r="AG72" s="58">
        <v>806300.00000000012</v>
      </c>
      <c r="AH72" s="58">
        <v>820800</v>
      </c>
      <c r="AI72" s="58">
        <v>835200</v>
      </c>
      <c r="AJ72" s="58">
        <v>849300</v>
      </c>
      <c r="AK72" s="58">
        <v>862900.00000000012</v>
      </c>
      <c r="AL72" s="58">
        <v>876199.99999999988</v>
      </c>
      <c r="AM72" s="58">
        <v>889000</v>
      </c>
      <c r="AN72" s="58">
        <v>901300.00000000012</v>
      </c>
      <c r="AO72" s="58">
        <v>913099.99999999988</v>
      </c>
    </row>
    <row r="73" spans="2:41" x14ac:dyDescent="0.25">
      <c r="B73" s="4">
        <v>19</v>
      </c>
      <c r="C73" s="4" t="s">
        <v>95</v>
      </c>
      <c r="D73" s="4">
        <v>221319</v>
      </c>
      <c r="E73" s="4">
        <v>241648</v>
      </c>
      <c r="F73" s="4">
        <v>258522</v>
      </c>
      <c r="G73" s="4">
        <v>298360</v>
      </c>
      <c r="H73" s="4">
        <v>322270</v>
      </c>
      <c r="I73" s="55">
        <v>346269</v>
      </c>
      <c r="J73" s="56">
        <v>374158</v>
      </c>
      <c r="K73" s="57">
        <v>398480</v>
      </c>
      <c r="L73" s="56">
        <v>427481</v>
      </c>
      <c r="M73" s="57">
        <v>444502</v>
      </c>
      <c r="N73" s="58">
        <v>465600</v>
      </c>
      <c r="O73" s="58">
        <v>480700.00000000006</v>
      </c>
      <c r="P73" s="58">
        <v>495200.00000000006</v>
      </c>
      <c r="Q73" s="58">
        <v>508200</v>
      </c>
      <c r="R73" s="58">
        <v>519700.00000000006</v>
      </c>
      <c r="S73" s="58">
        <v>530600</v>
      </c>
      <c r="T73" s="58">
        <v>541400.00000000012</v>
      </c>
      <c r="U73" s="58">
        <v>551800</v>
      </c>
      <c r="V73" s="58">
        <v>561600</v>
      </c>
      <c r="W73" s="58">
        <v>571300</v>
      </c>
      <c r="X73" s="58">
        <v>581100</v>
      </c>
      <c r="Y73" s="58">
        <v>590900.00000000012</v>
      </c>
      <c r="Z73" s="58">
        <v>600600</v>
      </c>
      <c r="AA73" s="58">
        <v>611100</v>
      </c>
      <c r="AB73" s="58">
        <v>621900</v>
      </c>
      <c r="AC73" s="58">
        <v>632900</v>
      </c>
      <c r="AD73" s="58">
        <v>643400</v>
      </c>
      <c r="AE73" s="58">
        <v>653000</v>
      </c>
      <c r="AF73" s="58">
        <v>665200</v>
      </c>
      <c r="AG73" s="58">
        <v>680400.00000000012</v>
      </c>
      <c r="AH73" s="58">
        <v>696300</v>
      </c>
      <c r="AI73" s="58">
        <v>712800</v>
      </c>
      <c r="AJ73" s="58">
        <v>729600</v>
      </c>
      <c r="AK73" s="58">
        <v>746900.00000000012</v>
      </c>
      <c r="AL73" s="58">
        <v>764200</v>
      </c>
      <c r="AM73" s="58">
        <v>781500</v>
      </c>
      <c r="AN73" s="58">
        <v>798800</v>
      </c>
      <c r="AO73" s="58">
        <v>816000</v>
      </c>
    </row>
    <row r="74" spans="2:41" x14ac:dyDescent="0.25">
      <c r="B74" s="4">
        <v>20</v>
      </c>
      <c r="C74" s="4" t="s">
        <v>96</v>
      </c>
      <c r="D74" s="4"/>
      <c r="E74" s="4"/>
      <c r="F74" s="4"/>
      <c r="G74" s="4">
        <v>335881</v>
      </c>
      <c r="H74" s="4">
        <v>356551</v>
      </c>
      <c r="I74" s="55">
        <v>377836</v>
      </c>
      <c r="J74" s="56">
        <v>394439</v>
      </c>
      <c r="K74" s="57">
        <v>416280</v>
      </c>
      <c r="L74" s="56">
        <v>469089</v>
      </c>
      <c r="M74" s="57">
        <v>483033</v>
      </c>
      <c r="N74" s="58">
        <v>505200.00000000006</v>
      </c>
      <c r="O74" s="58">
        <v>517600</v>
      </c>
      <c r="P74" s="58">
        <v>529400</v>
      </c>
      <c r="Q74" s="58">
        <v>539700</v>
      </c>
      <c r="R74" s="58">
        <v>548000</v>
      </c>
      <c r="S74" s="58">
        <v>556100</v>
      </c>
      <c r="T74" s="58">
        <v>564800</v>
      </c>
      <c r="U74" s="58">
        <v>573600</v>
      </c>
      <c r="V74" s="58">
        <v>582900.00000000012</v>
      </c>
      <c r="W74" s="58">
        <v>592600</v>
      </c>
      <c r="X74" s="58">
        <v>602900</v>
      </c>
      <c r="Y74" s="58">
        <v>613500</v>
      </c>
      <c r="Z74" s="58">
        <v>624500</v>
      </c>
      <c r="AA74" s="58">
        <v>636500</v>
      </c>
      <c r="AB74" s="58">
        <v>649700</v>
      </c>
      <c r="AC74" s="58">
        <v>662000</v>
      </c>
      <c r="AD74" s="58">
        <v>669200</v>
      </c>
      <c r="AE74" s="58">
        <v>671400.00000000012</v>
      </c>
      <c r="AF74" s="58">
        <v>680700</v>
      </c>
      <c r="AG74" s="58">
        <v>698700</v>
      </c>
      <c r="AH74" s="58">
        <v>717700</v>
      </c>
      <c r="AI74" s="58">
        <v>737600</v>
      </c>
      <c r="AJ74" s="58">
        <v>757900</v>
      </c>
      <c r="AK74" s="58">
        <v>778300</v>
      </c>
      <c r="AL74" s="58">
        <v>798500</v>
      </c>
      <c r="AM74" s="58">
        <v>818700</v>
      </c>
      <c r="AN74" s="58">
        <v>838300</v>
      </c>
      <c r="AO74" s="58">
        <v>857400</v>
      </c>
    </row>
    <row r="75" spans="2:41" x14ac:dyDescent="0.25">
      <c r="B75" s="4"/>
      <c r="C75" s="4" t="s">
        <v>97</v>
      </c>
      <c r="D75" s="79">
        <v>5150784</v>
      </c>
      <c r="E75" s="79">
        <v>5297277</v>
      </c>
      <c r="F75" s="79">
        <v>5460086</v>
      </c>
      <c r="G75" s="79">
        <v>5624555</v>
      </c>
      <c r="H75" s="79">
        <v>5784552</v>
      </c>
      <c r="I75" s="116">
        <v>5944304</v>
      </c>
      <c r="J75" s="117">
        <v>6110465</v>
      </c>
      <c r="K75" s="118">
        <v>6295590</v>
      </c>
      <c r="L75" s="117">
        <v>6617000</v>
      </c>
      <c r="M75" s="118">
        <v>6738017</v>
      </c>
      <c r="N75" s="79">
        <v>7057800</v>
      </c>
      <c r="O75" s="79">
        <v>7162400</v>
      </c>
      <c r="P75" s="79">
        <v>7251200</v>
      </c>
      <c r="Q75" s="79">
        <v>7314600</v>
      </c>
      <c r="R75" s="79">
        <v>7351000</v>
      </c>
      <c r="S75" s="79">
        <v>7378500</v>
      </c>
      <c r="T75" s="79">
        <v>7412200</v>
      </c>
      <c r="U75" s="79">
        <v>7448300</v>
      </c>
      <c r="V75" s="79">
        <v>7491000</v>
      </c>
      <c r="W75" s="79">
        <v>7538700</v>
      </c>
      <c r="X75" s="79">
        <v>7591100</v>
      </c>
      <c r="Y75" s="79">
        <v>7651000</v>
      </c>
      <c r="Z75" s="79">
        <v>7723100</v>
      </c>
      <c r="AA75" s="79">
        <v>7812200</v>
      </c>
      <c r="AB75" s="79">
        <v>7914300</v>
      </c>
      <c r="AC75" s="79">
        <v>8023200</v>
      </c>
      <c r="AD75" s="79">
        <v>8129200</v>
      </c>
      <c r="AE75" s="79">
        <v>8226400</v>
      </c>
      <c r="AF75" s="79">
        <v>8349600</v>
      </c>
      <c r="AG75" s="79">
        <v>8506900</v>
      </c>
      <c r="AH75" s="79">
        <v>8678300</v>
      </c>
      <c r="AI75" s="79">
        <v>8859000</v>
      </c>
      <c r="AJ75" s="79">
        <v>9045600</v>
      </c>
      <c r="AK75" s="79">
        <v>9234100</v>
      </c>
      <c r="AL75" s="79">
        <v>9420800</v>
      </c>
      <c r="AM75" s="79">
        <v>9603000</v>
      </c>
      <c r="AN75" s="79">
        <v>9777700</v>
      </c>
      <c r="AO75" s="79">
        <v>9944400</v>
      </c>
    </row>
    <row r="76" spans="2:41" x14ac:dyDescent="0.25">
      <c r="N76" s="58">
        <v>1000</v>
      </c>
    </row>
    <row r="77" spans="2:41" x14ac:dyDescent="0.25">
      <c r="N77" s="119"/>
    </row>
    <row r="78" spans="2:41" x14ac:dyDescent="0.25">
      <c r="C78" s="108" t="s">
        <v>104</v>
      </c>
      <c r="L78" s="101"/>
      <c r="M78" s="101"/>
      <c r="N78" s="101"/>
      <c r="O78" s="101"/>
      <c r="P78" s="101"/>
      <c r="Q78" s="101"/>
      <c r="R78" s="101"/>
      <c r="S78" s="101"/>
      <c r="T78" s="101"/>
      <c r="U78" s="101"/>
    </row>
    <row r="79" spans="2:41" x14ac:dyDescent="0.25">
      <c r="B79" s="4"/>
      <c r="C79" s="4"/>
      <c r="D79" s="4"/>
      <c r="E79" s="4"/>
      <c r="F79" s="4"/>
      <c r="G79" s="4"/>
      <c r="H79" s="4"/>
      <c r="I79" s="211" t="s">
        <v>105</v>
      </c>
      <c r="J79" s="211"/>
      <c r="K79" s="211"/>
      <c r="L79" s="211"/>
      <c r="M79" s="211"/>
      <c r="N79" s="212" t="s">
        <v>106</v>
      </c>
      <c r="O79" s="212"/>
      <c r="P79" s="212"/>
      <c r="Q79" s="212"/>
      <c r="R79" s="212"/>
      <c r="S79" s="212"/>
      <c r="T79" s="212"/>
      <c r="U79" s="212"/>
    </row>
    <row r="80" spans="2:41" x14ac:dyDescent="0.25">
      <c r="B80" s="4" t="s">
        <v>75</v>
      </c>
      <c r="C80" s="4" t="s">
        <v>76</v>
      </c>
      <c r="D80" s="102">
        <v>2013</v>
      </c>
      <c r="E80" s="102">
        <v>2014</v>
      </c>
      <c r="F80" s="102">
        <v>2015</v>
      </c>
      <c r="G80" s="102">
        <v>2016</v>
      </c>
      <c r="H80" s="102">
        <v>2017</v>
      </c>
      <c r="I80" s="57">
        <v>2018</v>
      </c>
      <c r="J80" s="57">
        <v>2019</v>
      </c>
      <c r="K80" s="57">
        <v>2020</v>
      </c>
      <c r="L80" s="57">
        <v>2021</v>
      </c>
      <c r="M80" s="57">
        <v>2022</v>
      </c>
      <c r="N80" s="114">
        <v>2023</v>
      </c>
      <c r="O80" s="114">
        <v>2024</v>
      </c>
      <c r="P80" s="114">
        <v>2025</v>
      </c>
      <c r="Q80" s="114">
        <v>2026</v>
      </c>
      <c r="R80" s="114">
        <v>2027</v>
      </c>
      <c r="S80" s="114">
        <v>2028</v>
      </c>
      <c r="T80" s="114">
        <v>2029</v>
      </c>
      <c r="U80" s="114">
        <v>2030</v>
      </c>
      <c r="V80" s="115">
        <v>2031</v>
      </c>
      <c r="W80" s="115">
        <v>2032</v>
      </c>
      <c r="X80" s="115">
        <v>2033</v>
      </c>
      <c r="Y80" s="115">
        <v>2034</v>
      </c>
      <c r="Z80" s="115">
        <v>2035</v>
      </c>
      <c r="AA80" s="115">
        <v>2036</v>
      </c>
      <c r="AB80" s="115">
        <v>2037</v>
      </c>
      <c r="AC80" s="115">
        <v>2038</v>
      </c>
      <c r="AD80" s="115">
        <v>2039</v>
      </c>
      <c r="AE80" s="115">
        <v>2040</v>
      </c>
      <c r="AF80" s="114">
        <v>2041</v>
      </c>
      <c r="AG80" s="114">
        <v>2042</v>
      </c>
      <c r="AH80" s="114">
        <v>2043</v>
      </c>
      <c r="AI80" s="114">
        <v>2044</v>
      </c>
      <c r="AJ80" s="114">
        <v>2045</v>
      </c>
      <c r="AK80" s="114">
        <v>2046</v>
      </c>
      <c r="AL80" s="114">
        <v>2047</v>
      </c>
      <c r="AM80" s="114">
        <v>2048</v>
      </c>
      <c r="AN80" s="114">
        <v>2049</v>
      </c>
      <c r="AO80" s="114">
        <v>2050</v>
      </c>
    </row>
    <row r="81" spans="2:41" x14ac:dyDescent="0.25">
      <c r="B81" s="4">
        <v>1</v>
      </c>
      <c r="C81" s="4" t="s">
        <v>77</v>
      </c>
      <c r="D81" s="58">
        <f t="shared" ref="D81:AO87" si="0">D5-D55</f>
        <v>0</v>
      </c>
      <c r="E81" s="58">
        <f t="shared" si="0"/>
        <v>0</v>
      </c>
      <c r="F81" s="58">
        <f t="shared" si="0"/>
        <v>0</v>
      </c>
      <c r="G81" s="58">
        <f t="shared" si="0"/>
        <v>0</v>
      </c>
      <c r="H81" s="58">
        <f t="shared" si="0"/>
        <v>0</v>
      </c>
      <c r="I81" s="58">
        <f t="shared" si="0"/>
        <v>0</v>
      </c>
      <c r="J81" s="58">
        <f t="shared" si="0"/>
        <v>0</v>
      </c>
      <c r="K81" s="58">
        <f t="shared" si="0"/>
        <v>0</v>
      </c>
      <c r="L81" s="58">
        <f t="shared" si="0"/>
        <v>425098</v>
      </c>
      <c r="M81" s="58">
        <f t="shared" si="0"/>
        <v>421599</v>
      </c>
      <c r="N81" s="58">
        <f t="shared" si="0"/>
        <v>411800</v>
      </c>
      <c r="O81" s="58">
        <f t="shared" si="0"/>
        <v>407800</v>
      </c>
      <c r="P81" s="58">
        <f t="shared" si="0"/>
        <v>404500</v>
      </c>
      <c r="Q81" s="58">
        <f t="shared" si="0"/>
        <v>401400</v>
      </c>
      <c r="R81" s="58">
        <f t="shared" si="0"/>
        <v>398900</v>
      </c>
      <c r="S81" s="58">
        <f t="shared" si="0"/>
        <v>396900</v>
      </c>
      <c r="T81" s="58">
        <f t="shared" si="0"/>
        <v>394500</v>
      </c>
      <c r="U81" s="58">
        <f t="shared" si="0"/>
        <v>392000</v>
      </c>
      <c r="V81" s="58">
        <f t="shared" si="0"/>
        <v>388200</v>
      </c>
      <c r="W81" s="58">
        <f t="shared" si="0"/>
        <v>385200</v>
      </c>
      <c r="X81" s="58">
        <f t="shared" si="0"/>
        <v>382300</v>
      </c>
      <c r="Y81" s="58">
        <f t="shared" si="0"/>
        <v>379200</v>
      </c>
      <c r="Z81" s="58">
        <f t="shared" si="0"/>
        <v>376000</v>
      </c>
      <c r="AA81" s="58">
        <f t="shared" si="0"/>
        <v>372600</v>
      </c>
      <c r="AB81" s="58">
        <f t="shared" si="0"/>
        <v>369900</v>
      </c>
      <c r="AC81" s="58">
        <f t="shared" si="0"/>
        <v>366000</v>
      </c>
      <c r="AD81" s="58">
        <f t="shared" si="0"/>
        <v>362100</v>
      </c>
      <c r="AE81" s="58">
        <f t="shared" si="0"/>
        <v>359400</v>
      </c>
      <c r="AF81" s="58">
        <f t="shared" si="0"/>
        <v>356500</v>
      </c>
      <c r="AG81" s="58">
        <f t="shared" si="0"/>
        <v>352800</v>
      </c>
      <c r="AH81" s="58">
        <f t="shared" si="0"/>
        <v>348500</v>
      </c>
      <c r="AI81" s="58">
        <f t="shared" si="0"/>
        <v>344500</v>
      </c>
      <c r="AJ81" s="58">
        <f t="shared" si="0"/>
        <v>340400</v>
      </c>
      <c r="AK81" s="58">
        <f t="shared" si="0"/>
        <v>336200</v>
      </c>
      <c r="AL81" s="58">
        <f t="shared" si="0"/>
        <v>331900</v>
      </c>
      <c r="AM81" s="58">
        <f t="shared" si="0"/>
        <v>327000</v>
      </c>
      <c r="AN81" s="58">
        <f t="shared" si="0"/>
        <v>323300</v>
      </c>
      <c r="AO81" s="58">
        <f t="shared" si="0"/>
        <v>318900</v>
      </c>
    </row>
    <row r="82" spans="2:41" x14ac:dyDescent="0.25">
      <c r="B82" s="4">
        <v>2</v>
      </c>
      <c r="C82" s="4" t="s">
        <v>78</v>
      </c>
      <c r="D82" s="58">
        <f t="shared" si="0"/>
        <v>539886</v>
      </c>
      <c r="E82" s="58">
        <f t="shared" si="0"/>
        <v>540250</v>
      </c>
      <c r="F82" s="58">
        <f t="shared" si="0"/>
        <v>544845</v>
      </c>
      <c r="G82" s="58">
        <f t="shared" si="0"/>
        <v>537413</v>
      </c>
      <c r="H82" s="58">
        <f t="shared" si="0"/>
        <v>537095</v>
      </c>
      <c r="I82" s="58">
        <f t="shared" si="0"/>
        <v>534119</v>
      </c>
      <c r="J82" s="58">
        <f t="shared" si="0"/>
        <v>530999</v>
      </c>
      <c r="K82" s="58">
        <f t="shared" si="0"/>
        <v>528963</v>
      </c>
      <c r="L82" s="58">
        <f t="shared" si="0"/>
        <v>562102</v>
      </c>
      <c r="M82" s="58">
        <f t="shared" si="0"/>
        <v>564062</v>
      </c>
      <c r="N82" s="58">
        <f t="shared" si="0"/>
        <v>550300</v>
      </c>
      <c r="O82" s="58">
        <f t="shared" si="0"/>
        <v>549300</v>
      </c>
      <c r="P82" s="58">
        <f t="shared" si="0"/>
        <v>548600</v>
      </c>
      <c r="Q82" s="58">
        <f t="shared" si="0"/>
        <v>547800</v>
      </c>
      <c r="R82" s="58">
        <f t="shared" si="0"/>
        <v>547000</v>
      </c>
      <c r="S82" s="58">
        <f t="shared" si="0"/>
        <v>548300</v>
      </c>
      <c r="T82" s="58">
        <f t="shared" si="0"/>
        <v>548500</v>
      </c>
      <c r="U82" s="58">
        <f t="shared" si="0"/>
        <v>548500</v>
      </c>
      <c r="V82" s="58">
        <f t="shared" si="0"/>
        <v>547700</v>
      </c>
      <c r="W82" s="58">
        <f t="shared" si="0"/>
        <v>547700</v>
      </c>
      <c r="X82" s="58">
        <f t="shared" si="0"/>
        <v>547600</v>
      </c>
      <c r="Y82" s="58">
        <f t="shared" si="0"/>
        <v>547400</v>
      </c>
      <c r="Z82" s="58">
        <f t="shared" si="0"/>
        <v>546800</v>
      </c>
      <c r="AA82" s="58">
        <f t="shared" si="0"/>
        <v>545500</v>
      </c>
      <c r="AB82" s="58">
        <f t="shared" si="0"/>
        <v>543900</v>
      </c>
      <c r="AC82" s="58">
        <f t="shared" si="0"/>
        <v>541400</v>
      </c>
      <c r="AD82" s="58">
        <f t="shared" si="0"/>
        <v>537800</v>
      </c>
      <c r="AE82" s="58">
        <f t="shared" si="0"/>
        <v>533800</v>
      </c>
      <c r="AF82" s="58">
        <f t="shared" si="0"/>
        <v>530100</v>
      </c>
      <c r="AG82" s="58">
        <f t="shared" si="0"/>
        <v>526900</v>
      </c>
      <c r="AH82" s="58">
        <f t="shared" si="0"/>
        <v>523300</v>
      </c>
      <c r="AI82" s="58">
        <f t="shared" si="0"/>
        <v>519500</v>
      </c>
      <c r="AJ82" s="58">
        <f t="shared" si="0"/>
        <v>515600</v>
      </c>
      <c r="AK82" s="58">
        <f t="shared" si="0"/>
        <v>511700</v>
      </c>
      <c r="AL82" s="58">
        <f t="shared" si="0"/>
        <v>507900</v>
      </c>
      <c r="AM82" s="58">
        <f t="shared" si="0"/>
        <v>503200</v>
      </c>
      <c r="AN82" s="58">
        <f t="shared" si="0"/>
        <v>498700</v>
      </c>
      <c r="AO82" s="58">
        <f t="shared" si="0"/>
        <v>494600</v>
      </c>
    </row>
    <row r="83" spans="2:41" x14ac:dyDescent="0.25">
      <c r="B83" s="4">
        <v>3</v>
      </c>
      <c r="C83" s="4" t="s">
        <v>79</v>
      </c>
      <c r="D83" s="58">
        <f t="shared" si="0"/>
        <v>572436</v>
      </c>
      <c r="E83" s="58">
        <f t="shared" si="0"/>
        <v>578330</v>
      </c>
      <c r="F83" s="58">
        <f t="shared" si="0"/>
        <v>581924</v>
      </c>
      <c r="G83" s="58">
        <f t="shared" si="0"/>
        <v>584438</v>
      </c>
      <c r="H83" s="58">
        <f t="shared" si="0"/>
        <v>587544</v>
      </c>
      <c r="I83" s="58">
        <f t="shared" si="0"/>
        <v>590567</v>
      </c>
      <c r="J83" s="58">
        <f t="shared" si="0"/>
        <v>592651</v>
      </c>
      <c r="K83" s="58">
        <f t="shared" si="0"/>
        <v>594460</v>
      </c>
      <c r="L83" s="58">
        <f t="shared" si="0"/>
        <v>598185</v>
      </c>
      <c r="M83" s="58">
        <f t="shared" si="0"/>
        <v>602686</v>
      </c>
      <c r="N83" s="58">
        <f t="shared" si="0"/>
        <v>592800</v>
      </c>
      <c r="O83" s="58">
        <f t="shared" si="0"/>
        <v>597700</v>
      </c>
      <c r="P83" s="58">
        <f t="shared" si="0"/>
        <v>603800</v>
      </c>
      <c r="Q83" s="58">
        <f t="shared" si="0"/>
        <v>610100</v>
      </c>
      <c r="R83" s="58">
        <f t="shared" si="0"/>
        <v>616800</v>
      </c>
      <c r="S83" s="58">
        <f t="shared" si="0"/>
        <v>624400</v>
      </c>
      <c r="T83" s="58">
        <f t="shared" si="0"/>
        <v>632300</v>
      </c>
      <c r="U83" s="58">
        <f t="shared" si="0"/>
        <v>640400</v>
      </c>
      <c r="V83" s="58">
        <f t="shared" si="0"/>
        <v>648300</v>
      </c>
      <c r="W83" s="58">
        <f t="shared" si="0"/>
        <v>657300</v>
      </c>
      <c r="X83" s="58">
        <f t="shared" si="0"/>
        <v>665300</v>
      </c>
      <c r="Y83" s="58">
        <f t="shared" si="0"/>
        <v>674400</v>
      </c>
      <c r="Z83" s="58">
        <f t="shared" si="0"/>
        <v>683800</v>
      </c>
      <c r="AA83" s="58">
        <f t="shared" si="0"/>
        <v>692100</v>
      </c>
      <c r="AB83" s="58">
        <f t="shared" si="0"/>
        <v>699800</v>
      </c>
      <c r="AC83" s="58">
        <f t="shared" si="0"/>
        <v>707600</v>
      </c>
      <c r="AD83" s="58">
        <f t="shared" si="0"/>
        <v>716400</v>
      </c>
      <c r="AE83" s="58">
        <f t="shared" si="0"/>
        <v>725100</v>
      </c>
      <c r="AF83" s="58">
        <f t="shared" si="0"/>
        <v>733700</v>
      </c>
      <c r="AG83" s="58">
        <f t="shared" si="0"/>
        <v>740300</v>
      </c>
      <c r="AH83" s="58">
        <f t="shared" si="0"/>
        <v>747000</v>
      </c>
      <c r="AI83" s="58">
        <f t="shared" si="0"/>
        <v>752900</v>
      </c>
      <c r="AJ83" s="58">
        <f t="shared" si="0"/>
        <v>759100</v>
      </c>
      <c r="AK83" s="58">
        <f t="shared" si="0"/>
        <v>764900</v>
      </c>
      <c r="AL83" s="58">
        <f t="shared" si="0"/>
        <v>769700</v>
      </c>
      <c r="AM83" s="58">
        <f t="shared" si="0"/>
        <v>775500</v>
      </c>
      <c r="AN83" s="58">
        <f t="shared" si="0"/>
        <v>780500</v>
      </c>
      <c r="AO83" s="58">
        <f t="shared" si="0"/>
        <v>786100</v>
      </c>
    </row>
    <row r="84" spans="2:41" x14ac:dyDescent="0.25">
      <c r="B84" s="4">
        <v>4</v>
      </c>
      <c r="C84" s="4" t="s">
        <v>80</v>
      </c>
      <c r="D84" s="58">
        <f t="shared" si="0"/>
        <v>1363279</v>
      </c>
      <c r="E84" s="58">
        <f t="shared" si="0"/>
        <v>1303609</v>
      </c>
      <c r="F84" s="58">
        <f t="shared" si="0"/>
        <v>1309061</v>
      </c>
      <c r="G84" s="58">
        <f t="shared" si="0"/>
        <v>1314768</v>
      </c>
      <c r="H84" s="58">
        <f t="shared" si="0"/>
        <v>1323395</v>
      </c>
      <c r="I84" s="58">
        <f t="shared" si="0"/>
        <v>1325886</v>
      </c>
      <c r="J84" s="58">
        <f t="shared" si="0"/>
        <v>1323555</v>
      </c>
      <c r="K84" s="58">
        <f t="shared" si="0"/>
        <v>1324428</v>
      </c>
      <c r="L84" s="58">
        <f t="shared" si="0"/>
        <v>948119</v>
      </c>
      <c r="M84" s="58">
        <f t="shared" si="0"/>
        <v>961390</v>
      </c>
      <c r="N84" s="58">
        <f t="shared" si="0"/>
        <v>946900.00000000012</v>
      </c>
      <c r="O84" s="58">
        <f t="shared" si="0"/>
        <v>959400</v>
      </c>
      <c r="P84" s="58">
        <f t="shared" si="0"/>
        <v>973300</v>
      </c>
      <c r="Q84" s="58">
        <f t="shared" si="0"/>
        <v>990700</v>
      </c>
      <c r="R84" s="58">
        <f t="shared" si="0"/>
        <v>1010000</v>
      </c>
      <c r="S84" s="58">
        <f t="shared" si="0"/>
        <v>1030400.0000000001</v>
      </c>
      <c r="T84" s="58">
        <f t="shared" si="0"/>
        <v>1048700</v>
      </c>
      <c r="U84" s="58">
        <f t="shared" si="0"/>
        <v>1068500</v>
      </c>
      <c r="V84" s="58">
        <f t="shared" si="0"/>
        <v>1087300</v>
      </c>
      <c r="W84" s="58">
        <f t="shared" si="0"/>
        <v>1106000</v>
      </c>
      <c r="X84" s="58">
        <f t="shared" si="0"/>
        <v>1125700</v>
      </c>
      <c r="Y84" s="58">
        <f t="shared" si="0"/>
        <v>1145400</v>
      </c>
      <c r="Z84" s="58">
        <f t="shared" si="0"/>
        <v>1163700</v>
      </c>
      <c r="AA84" s="58">
        <f t="shared" si="0"/>
        <v>1182700</v>
      </c>
      <c r="AB84" s="58">
        <f t="shared" si="0"/>
        <v>1201400</v>
      </c>
      <c r="AC84" s="58">
        <f t="shared" si="0"/>
        <v>1218400</v>
      </c>
      <c r="AD84" s="58">
        <f t="shared" si="0"/>
        <v>1232500</v>
      </c>
      <c r="AE84" s="58">
        <f t="shared" si="0"/>
        <v>1246100</v>
      </c>
      <c r="AF84" s="58">
        <f t="shared" si="0"/>
        <v>1262200</v>
      </c>
      <c r="AG84" s="58">
        <f t="shared" si="0"/>
        <v>1279700</v>
      </c>
      <c r="AH84" s="58">
        <f t="shared" si="0"/>
        <v>1295500</v>
      </c>
      <c r="AI84" s="58">
        <f t="shared" si="0"/>
        <v>1310300</v>
      </c>
      <c r="AJ84" s="58">
        <f t="shared" si="0"/>
        <v>1324500</v>
      </c>
      <c r="AK84" s="58">
        <f t="shared" si="0"/>
        <v>1339300</v>
      </c>
      <c r="AL84" s="58">
        <f t="shared" si="0"/>
        <v>1354200</v>
      </c>
      <c r="AM84" s="58">
        <f t="shared" si="0"/>
        <v>1368600</v>
      </c>
      <c r="AN84" s="58">
        <f t="shared" si="0"/>
        <v>1384900</v>
      </c>
      <c r="AO84" s="58">
        <f t="shared" si="0"/>
        <v>1401000</v>
      </c>
    </row>
    <row r="85" spans="2:41" x14ac:dyDescent="0.25">
      <c r="B85" s="4">
        <v>5</v>
      </c>
      <c r="C85" s="4" t="s">
        <v>81</v>
      </c>
      <c r="D85" s="58">
        <f t="shared" si="0"/>
        <v>370680</v>
      </c>
      <c r="E85" s="58">
        <f t="shared" si="0"/>
        <v>376639</v>
      </c>
      <c r="F85" s="58">
        <f t="shared" si="0"/>
        <v>381751</v>
      </c>
      <c r="G85" s="58">
        <f t="shared" si="0"/>
        <v>386644</v>
      </c>
      <c r="H85" s="58">
        <f t="shared" si="0"/>
        <v>391724</v>
      </c>
      <c r="I85" s="58">
        <f t="shared" si="0"/>
        <v>396624</v>
      </c>
      <c r="J85" s="58">
        <f t="shared" si="0"/>
        <v>400558</v>
      </c>
      <c r="K85" s="58">
        <f t="shared" si="0"/>
        <v>403777</v>
      </c>
      <c r="L85" s="58">
        <f t="shared" si="0"/>
        <v>418854</v>
      </c>
      <c r="M85" s="58">
        <f t="shared" si="0"/>
        <v>423487</v>
      </c>
      <c r="N85" s="58">
        <f t="shared" si="0"/>
        <v>415400</v>
      </c>
      <c r="O85" s="58">
        <f t="shared" si="0"/>
        <v>419500</v>
      </c>
      <c r="P85" s="58">
        <f t="shared" si="0"/>
        <v>424600</v>
      </c>
      <c r="Q85" s="58">
        <f t="shared" si="0"/>
        <v>430800</v>
      </c>
      <c r="R85" s="58">
        <f t="shared" si="0"/>
        <v>436700</v>
      </c>
      <c r="S85" s="58">
        <f t="shared" si="0"/>
        <v>444600</v>
      </c>
      <c r="T85" s="58">
        <f t="shared" si="0"/>
        <v>451700</v>
      </c>
      <c r="U85" s="58">
        <f t="shared" si="0"/>
        <v>460000</v>
      </c>
      <c r="V85" s="58">
        <f t="shared" si="0"/>
        <v>467299.99999999994</v>
      </c>
      <c r="W85" s="58">
        <f t="shared" si="0"/>
        <v>476400</v>
      </c>
      <c r="X85" s="58">
        <f t="shared" si="0"/>
        <v>484400</v>
      </c>
      <c r="Y85" s="58">
        <f t="shared" si="0"/>
        <v>492700</v>
      </c>
      <c r="Z85" s="58">
        <f t="shared" si="0"/>
        <v>501600</v>
      </c>
      <c r="AA85" s="58">
        <f t="shared" si="0"/>
        <v>509900</v>
      </c>
      <c r="AB85" s="58">
        <f t="shared" si="0"/>
        <v>517700.00000000006</v>
      </c>
      <c r="AC85" s="58">
        <f t="shared" si="0"/>
        <v>526000</v>
      </c>
      <c r="AD85" s="58">
        <f t="shared" si="0"/>
        <v>534100</v>
      </c>
      <c r="AE85" s="58">
        <f t="shared" si="0"/>
        <v>543200</v>
      </c>
      <c r="AF85" s="58">
        <f t="shared" si="0"/>
        <v>551300</v>
      </c>
      <c r="AG85" s="58">
        <f t="shared" si="0"/>
        <v>559000</v>
      </c>
      <c r="AH85" s="58">
        <f t="shared" si="0"/>
        <v>566000</v>
      </c>
      <c r="AI85" s="58">
        <f t="shared" si="0"/>
        <v>572300</v>
      </c>
      <c r="AJ85" s="58">
        <f t="shared" si="0"/>
        <v>578900</v>
      </c>
      <c r="AK85" s="58">
        <f t="shared" si="0"/>
        <v>585400</v>
      </c>
      <c r="AL85" s="58">
        <f t="shared" si="0"/>
        <v>591800</v>
      </c>
      <c r="AM85" s="58">
        <f t="shared" si="0"/>
        <v>598300</v>
      </c>
      <c r="AN85" s="58">
        <f t="shared" si="0"/>
        <v>604900</v>
      </c>
      <c r="AO85" s="58">
        <f t="shared" si="0"/>
        <v>611900</v>
      </c>
    </row>
    <row r="86" spans="2:41" x14ac:dyDescent="0.25">
      <c r="B86" s="4">
        <v>6</v>
      </c>
      <c r="C86" s="4" t="s">
        <v>82</v>
      </c>
      <c r="D86" s="58">
        <f t="shared" si="0"/>
        <v>1054623</v>
      </c>
      <c r="E86" s="58">
        <f t="shared" si="0"/>
        <v>1051236</v>
      </c>
      <c r="F86" s="58">
        <f t="shared" si="0"/>
        <v>1045910</v>
      </c>
      <c r="G86" s="58">
        <f t="shared" si="0"/>
        <v>1035932</v>
      </c>
      <c r="H86" s="58">
        <f t="shared" si="0"/>
        <v>1025980</v>
      </c>
      <c r="I86" s="58">
        <f t="shared" si="0"/>
        <v>1017191</v>
      </c>
      <c r="J86" s="58">
        <f t="shared" si="0"/>
        <v>1005351</v>
      </c>
      <c r="K86" s="58">
        <f t="shared" si="0"/>
        <v>994735</v>
      </c>
      <c r="L86" s="58">
        <f t="shared" si="0"/>
        <v>549744</v>
      </c>
      <c r="M86" s="58">
        <f t="shared" si="0"/>
        <v>546563</v>
      </c>
      <c r="N86" s="58">
        <f t="shared" si="0"/>
        <v>536500</v>
      </c>
      <c r="O86" s="58">
        <f t="shared" si="0"/>
        <v>533300</v>
      </c>
      <c r="P86" s="58">
        <f t="shared" si="0"/>
        <v>530700</v>
      </c>
      <c r="Q86" s="58">
        <f t="shared" si="0"/>
        <v>528000</v>
      </c>
      <c r="R86" s="58">
        <f t="shared" si="0"/>
        <v>526200</v>
      </c>
      <c r="S86" s="58">
        <f t="shared" si="0"/>
        <v>523700</v>
      </c>
      <c r="T86" s="58">
        <f t="shared" si="0"/>
        <v>521300</v>
      </c>
      <c r="U86" s="58">
        <f t="shared" si="0"/>
        <v>518600</v>
      </c>
      <c r="V86" s="58">
        <f t="shared" si="0"/>
        <v>515600</v>
      </c>
      <c r="W86" s="58">
        <f t="shared" si="0"/>
        <v>512800</v>
      </c>
      <c r="X86" s="58">
        <f t="shared" si="0"/>
        <v>509800</v>
      </c>
      <c r="Y86" s="58">
        <f t="shared" si="0"/>
        <v>506800</v>
      </c>
      <c r="Z86" s="58">
        <f t="shared" si="0"/>
        <v>503400</v>
      </c>
      <c r="AA86" s="58">
        <f t="shared" si="0"/>
        <v>499600</v>
      </c>
      <c r="AB86" s="58">
        <f t="shared" si="0"/>
        <v>495600</v>
      </c>
      <c r="AC86" s="58">
        <f t="shared" si="0"/>
        <v>492200</v>
      </c>
      <c r="AD86" s="58">
        <f t="shared" si="0"/>
        <v>487800</v>
      </c>
      <c r="AE86" s="58">
        <f t="shared" si="0"/>
        <v>483600</v>
      </c>
      <c r="AF86" s="58">
        <f t="shared" si="0"/>
        <v>479800</v>
      </c>
      <c r="AG86" s="58">
        <f t="shared" si="0"/>
        <v>474400</v>
      </c>
      <c r="AH86" s="58">
        <f t="shared" si="0"/>
        <v>469600</v>
      </c>
      <c r="AI86" s="58">
        <f t="shared" si="0"/>
        <v>465500</v>
      </c>
      <c r="AJ86" s="58">
        <f t="shared" si="0"/>
        <v>460400</v>
      </c>
      <c r="AK86" s="58">
        <f t="shared" si="0"/>
        <v>456100</v>
      </c>
      <c r="AL86" s="58">
        <f t="shared" si="0"/>
        <v>450800</v>
      </c>
      <c r="AM86" s="58">
        <f t="shared" si="0"/>
        <v>445800</v>
      </c>
      <c r="AN86" s="58">
        <f t="shared" si="0"/>
        <v>441000</v>
      </c>
      <c r="AO86" s="58">
        <f t="shared" si="0"/>
        <v>436500</v>
      </c>
    </row>
    <row r="87" spans="2:41" x14ac:dyDescent="0.25">
      <c r="B87" s="4">
        <v>7</v>
      </c>
      <c r="C87" s="4" t="s">
        <v>83</v>
      </c>
      <c r="D87" s="58">
        <f t="shared" si="0"/>
        <v>698183</v>
      </c>
      <c r="E87" s="58">
        <f t="shared" si="0"/>
        <v>702116</v>
      </c>
      <c r="F87" s="58">
        <f t="shared" si="0"/>
        <v>703471</v>
      </c>
      <c r="G87" s="58">
        <f t="shared" si="0"/>
        <v>700580</v>
      </c>
      <c r="H87" s="58">
        <f t="shared" si="0"/>
        <v>697270</v>
      </c>
      <c r="I87" s="58">
        <f t="shared" si="0"/>
        <v>698052</v>
      </c>
      <c r="J87" s="58">
        <f t="shared" si="0"/>
        <v>697029</v>
      </c>
      <c r="K87" s="58">
        <f t="shared" si="0"/>
        <v>696916</v>
      </c>
      <c r="L87" s="58">
        <f t="shared" si="0"/>
        <v>752607</v>
      </c>
      <c r="M87" s="58">
        <f t="shared" si="0"/>
        <v>754540</v>
      </c>
      <c r="N87" s="58">
        <f t="shared" si="0"/>
        <v>744700</v>
      </c>
      <c r="O87" s="58">
        <f t="shared" si="0"/>
        <v>751400</v>
      </c>
      <c r="P87" s="58">
        <f t="shared" si="0"/>
        <v>760400</v>
      </c>
      <c r="Q87" s="58">
        <f t="shared" si="0"/>
        <v>771000</v>
      </c>
      <c r="R87" s="58">
        <f t="shared" si="0"/>
        <v>783400</v>
      </c>
      <c r="S87" s="58">
        <f t="shared" si="0"/>
        <v>796800</v>
      </c>
      <c r="T87" s="58">
        <f t="shared" si="0"/>
        <v>809599.99999999988</v>
      </c>
      <c r="U87" s="58">
        <f t="shared" si="0"/>
        <v>822400</v>
      </c>
      <c r="V87" s="58">
        <f t="shared" si="0"/>
        <v>835400</v>
      </c>
      <c r="W87" s="58">
        <f t="shared" si="0"/>
        <v>847400</v>
      </c>
      <c r="X87" s="58">
        <f t="shared" si="0"/>
        <v>860600</v>
      </c>
      <c r="Y87" s="58">
        <f t="shared" si="0"/>
        <v>873600</v>
      </c>
      <c r="Z87" s="58">
        <f t="shared" si="0"/>
        <v>884700</v>
      </c>
      <c r="AA87" s="58">
        <f t="shared" si="0"/>
        <v>896100</v>
      </c>
      <c r="AB87" s="58">
        <f t="shared" si="0"/>
        <v>906200</v>
      </c>
      <c r="AC87" s="58">
        <f t="shared" si="0"/>
        <v>916700</v>
      </c>
      <c r="AD87" s="58">
        <f t="shared" si="0"/>
        <v>927100</v>
      </c>
      <c r="AE87" s="58">
        <f t="shared" ref="O87:AO97" si="1">AE11-AE61</f>
        <v>939300</v>
      </c>
      <c r="AF87" s="58">
        <f t="shared" si="1"/>
        <v>950000</v>
      </c>
      <c r="AG87" s="58">
        <f t="shared" si="1"/>
        <v>960000</v>
      </c>
      <c r="AH87" s="58">
        <f t="shared" si="1"/>
        <v>969200</v>
      </c>
      <c r="AI87" s="58">
        <f t="shared" si="1"/>
        <v>979400</v>
      </c>
      <c r="AJ87" s="58">
        <f t="shared" si="1"/>
        <v>990500</v>
      </c>
      <c r="AK87" s="58">
        <f t="shared" si="1"/>
        <v>1002099.9999999999</v>
      </c>
      <c r="AL87" s="58">
        <f t="shared" si="1"/>
        <v>1014100</v>
      </c>
      <c r="AM87" s="58">
        <f t="shared" si="1"/>
        <v>1028000</v>
      </c>
      <c r="AN87" s="58">
        <f t="shared" si="1"/>
        <v>1041800</v>
      </c>
      <c r="AO87" s="58">
        <f t="shared" si="1"/>
        <v>1058200</v>
      </c>
    </row>
    <row r="88" spans="2:41" x14ac:dyDescent="0.25">
      <c r="B88" s="4">
        <v>8</v>
      </c>
      <c r="C88" s="4" t="s">
        <v>84</v>
      </c>
      <c r="D88" s="58">
        <f t="shared" ref="D88:N100" si="2">D12-D62</f>
        <v>0</v>
      </c>
      <c r="E88" s="58">
        <f t="shared" si="2"/>
        <v>0</v>
      </c>
      <c r="F88" s="58">
        <f t="shared" si="2"/>
        <v>0</v>
      </c>
      <c r="G88" s="58">
        <f t="shared" si="2"/>
        <v>0</v>
      </c>
      <c r="H88" s="58">
        <f t="shared" si="2"/>
        <v>0</v>
      </c>
      <c r="I88" s="58">
        <f t="shared" si="2"/>
        <v>0</v>
      </c>
      <c r="J88" s="58">
        <f t="shared" si="2"/>
        <v>0</v>
      </c>
      <c r="K88" s="58">
        <f t="shared" si="2"/>
        <v>0</v>
      </c>
      <c r="L88" s="58">
        <f t="shared" si="2"/>
        <v>457537</v>
      </c>
      <c r="M88" s="58">
        <f t="shared" si="2"/>
        <v>454059</v>
      </c>
      <c r="N88" s="58">
        <f t="shared" si="2"/>
        <v>461700.00000000006</v>
      </c>
      <c r="O88" s="58">
        <f t="shared" si="1"/>
        <v>472000</v>
      </c>
      <c r="P88" s="58">
        <f t="shared" si="1"/>
        <v>482100</v>
      </c>
      <c r="Q88" s="58">
        <f t="shared" si="1"/>
        <v>492300</v>
      </c>
      <c r="R88" s="58">
        <f t="shared" si="1"/>
        <v>504900</v>
      </c>
      <c r="S88" s="58">
        <f t="shared" si="1"/>
        <v>517700</v>
      </c>
      <c r="T88" s="58">
        <f t="shared" si="1"/>
        <v>530200</v>
      </c>
      <c r="U88" s="58">
        <f t="shared" si="1"/>
        <v>543200</v>
      </c>
      <c r="V88" s="58">
        <f t="shared" si="1"/>
        <v>555500</v>
      </c>
      <c r="W88" s="58">
        <f t="shared" si="1"/>
        <v>568300</v>
      </c>
      <c r="X88" s="58">
        <f t="shared" si="1"/>
        <v>580500</v>
      </c>
      <c r="Y88" s="58">
        <f t="shared" si="1"/>
        <v>592300</v>
      </c>
      <c r="Z88" s="58">
        <f t="shared" si="1"/>
        <v>604200</v>
      </c>
      <c r="AA88" s="58">
        <f t="shared" si="1"/>
        <v>615700</v>
      </c>
      <c r="AB88" s="58">
        <f t="shared" si="1"/>
        <v>627500</v>
      </c>
      <c r="AC88" s="58">
        <f t="shared" si="1"/>
        <v>638800</v>
      </c>
      <c r="AD88" s="58">
        <f t="shared" si="1"/>
        <v>649900</v>
      </c>
      <c r="AE88" s="58">
        <f t="shared" si="1"/>
        <v>662000</v>
      </c>
      <c r="AF88" s="58">
        <f t="shared" si="1"/>
        <v>673700</v>
      </c>
      <c r="AG88" s="58">
        <f t="shared" si="1"/>
        <v>684700</v>
      </c>
      <c r="AH88" s="58">
        <f t="shared" si="1"/>
        <v>695800</v>
      </c>
      <c r="AI88" s="58">
        <f t="shared" si="1"/>
        <v>706500</v>
      </c>
      <c r="AJ88" s="58">
        <f t="shared" si="1"/>
        <v>717200</v>
      </c>
      <c r="AK88" s="58">
        <f t="shared" si="1"/>
        <v>728500</v>
      </c>
      <c r="AL88" s="58">
        <f t="shared" si="1"/>
        <v>739100</v>
      </c>
      <c r="AM88" s="58">
        <f t="shared" si="1"/>
        <v>750800</v>
      </c>
      <c r="AN88" s="58">
        <f t="shared" si="1"/>
        <v>762900</v>
      </c>
      <c r="AO88" s="58">
        <f t="shared" si="1"/>
        <v>774400</v>
      </c>
    </row>
    <row r="89" spans="2:41" x14ac:dyDescent="0.25">
      <c r="B89" s="4">
        <v>9</v>
      </c>
      <c r="C89" s="4" t="s">
        <v>85</v>
      </c>
      <c r="D89" s="58">
        <f t="shared" si="2"/>
        <v>453906</v>
      </c>
      <c r="E89" s="58">
        <f t="shared" si="2"/>
        <v>455967</v>
      </c>
      <c r="F89" s="58">
        <f t="shared" si="2"/>
        <v>458262</v>
      </c>
      <c r="G89" s="58">
        <f t="shared" si="2"/>
        <v>458751</v>
      </c>
      <c r="H89" s="58">
        <f t="shared" si="2"/>
        <v>458887</v>
      </c>
      <c r="I89" s="58">
        <f t="shared" si="2"/>
        <v>458892</v>
      </c>
      <c r="J89" s="58">
        <f t="shared" si="2"/>
        <v>458341</v>
      </c>
      <c r="K89" s="58">
        <f t="shared" si="2"/>
        <v>457464</v>
      </c>
      <c r="L89" s="58">
        <f t="shared" si="2"/>
        <v>471576</v>
      </c>
      <c r="M89" s="58">
        <f t="shared" si="2"/>
        <v>472998</v>
      </c>
      <c r="N89" s="58">
        <f t="shared" si="2"/>
        <v>465500</v>
      </c>
      <c r="O89" s="58">
        <f t="shared" si="1"/>
        <v>467500</v>
      </c>
      <c r="P89" s="58">
        <f t="shared" si="1"/>
        <v>469100</v>
      </c>
      <c r="Q89" s="58">
        <f t="shared" si="1"/>
        <v>471400</v>
      </c>
      <c r="R89" s="58">
        <f t="shared" si="1"/>
        <v>474800</v>
      </c>
      <c r="S89" s="58">
        <f t="shared" si="1"/>
        <v>477900</v>
      </c>
      <c r="T89" s="58">
        <f t="shared" si="1"/>
        <v>480900</v>
      </c>
      <c r="U89" s="58">
        <f t="shared" si="1"/>
        <v>484000</v>
      </c>
      <c r="V89" s="58">
        <f t="shared" si="1"/>
        <v>487000</v>
      </c>
      <c r="W89" s="58">
        <f t="shared" si="1"/>
        <v>489400</v>
      </c>
      <c r="X89" s="58">
        <f t="shared" si="1"/>
        <v>492800</v>
      </c>
      <c r="Y89" s="58">
        <f t="shared" si="1"/>
        <v>496100</v>
      </c>
      <c r="Z89" s="58">
        <f t="shared" si="1"/>
        <v>500300</v>
      </c>
      <c r="AA89" s="58">
        <f t="shared" si="1"/>
        <v>503000</v>
      </c>
      <c r="AB89" s="58">
        <f t="shared" si="1"/>
        <v>505500</v>
      </c>
      <c r="AC89" s="58">
        <f t="shared" si="1"/>
        <v>508700</v>
      </c>
      <c r="AD89" s="58">
        <f t="shared" si="1"/>
        <v>510900</v>
      </c>
      <c r="AE89" s="58">
        <f t="shared" si="1"/>
        <v>514100</v>
      </c>
      <c r="AF89" s="58">
        <f t="shared" si="1"/>
        <v>516600</v>
      </c>
      <c r="AG89" s="58">
        <f t="shared" si="1"/>
        <v>518000</v>
      </c>
      <c r="AH89" s="58">
        <f t="shared" si="1"/>
        <v>519900</v>
      </c>
      <c r="AI89" s="58">
        <f t="shared" si="1"/>
        <v>521200</v>
      </c>
      <c r="AJ89" s="58">
        <f t="shared" si="1"/>
        <v>522100</v>
      </c>
      <c r="AK89" s="58">
        <f t="shared" si="1"/>
        <v>523700</v>
      </c>
      <c r="AL89" s="58">
        <f t="shared" si="1"/>
        <v>524200</v>
      </c>
      <c r="AM89" s="58">
        <f t="shared" si="1"/>
        <v>524700</v>
      </c>
      <c r="AN89" s="58">
        <f t="shared" si="1"/>
        <v>525400</v>
      </c>
      <c r="AO89" s="58">
        <f t="shared" si="1"/>
        <v>526200</v>
      </c>
    </row>
    <row r="90" spans="2:41" x14ac:dyDescent="0.25">
      <c r="B90" s="4">
        <v>10</v>
      </c>
      <c r="C90" s="4" t="s">
        <v>86</v>
      </c>
      <c r="D90" s="58">
        <f t="shared" si="2"/>
        <v>1016867</v>
      </c>
      <c r="E90" s="58">
        <f t="shared" si="2"/>
        <v>1019533</v>
      </c>
      <c r="F90" s="58">
        <f t="shared" si="2"/>
        <v>1019877</v>
      </c>
      <c r="G90" s="58">
        <f t="shared" si="2"/>
        <v>1014540</v>
      </c>
      <c r="H90" s="58">
        <f t="shared" si="2"/>
        <v>1008813</v>
      </c>
      <c r="I90" s="58">
        <f t="shared" si="2"/>
        <v>1003029</v>
      </c>
      <c r="J90" s="58">
        <f t="shared" si="2"/>
        <v>996764</v>
      </c>
      <c r="K90" s="58">
        <f t="shared" si="2"/>
        <v>990614</v>
      </c>
      <c r="L90" s="58">
        <f t="shared" si="2"/>
        <v>818493</v>
      </c>
      <c r="M90" s="58">
        <f t="shared" si="2"/>
        <v>817173</v>
      </c>
      <c r="N90" s="58">
        <f t="shared" si="2"/>
        <v>800500</v>
      </c>
      <c r="O90" s="58">
        <f t="shared" si="1"/>
        <v>798400</v>
      </c>
      <c r="P90" s="58">
        <f t="shared" si="1"/>
        <v>796300</v>
      </c>
      <c r="Q90" s="58">
        <f t="shared" si="1"/>
        <v>794200</v>
      </c>
      <c r="R90" s="58">
        <f t="shared" si="1"/>
        <v>793300</v>
      </c>
      <c r="S90" s="58">
        <f t="shared" si="1"/>
        <v>792000</v>
      </c>
      <c r="T90" s="58">
        <f t="shared" si="1"/>
        <v>790900</v>
      </c>
      <c r="U90" s="58">
        <f t="shared" si="1"/>
        <v>788800</v>
      </c>
      <c r="V90" s="58">
        <f t="shared" si="1"/>
        <v>787700</v>
      </c>
      <c r="W90" s="58">
        <f t="shared" si="1"/>
        <v>786600</v>
      </c>
      <c r="X90" s="58">
        <f t="shared" si="1"/>
        <v>784400</v>
      </c>
      <c r="Y90" s="58">
        <f t="shared" si="1"/>
        <v>783000</v>
      </c>
      <c r="Z90" s="58">
        <f t="shared" si="1"/>
        <v>781000</v>
      </c>
      <c r="AA90" s="58">
        <f t="shared" si="1"/>
        <v>778200</v>
      </c>
      <c r="AB90" s="58">
        <f t="shared" si="1"/>
        <v>774800</v>
      </c>
      <c r="AC90" s="58">
        <f t="shared" si="1"/>
        <v>771300</v>
      </c>
      <c r="AD90" s="58">
        <f t="shared" si="1"/>
        <v>768000</v>
      </c>
      <c r="AE90" s="58">
        <f t="shared" si="1"/>
        <v>763800</v>
      </c>
      <c r="AF90" s="58">
        <f t="shared" si="1"/>
        <v>760200</v>
      </c>
      <c r="AG90" s="58">
        <f t="shared" si="1"/>
        <v>756600</v>
      </c>
      <c r="AH90" s="58">
        <f t="shared" si="1"/>
        <v>751400</v>
      </c>
      <c r="AI90" s="58">
        <f t="shared" si="1"/>
        <v>746900</v>
      </c>
      <c r="AJ90" s="58">
        <f t="shared" si="1"/>
        <v>743000</v>
      </c>
      <c r="AK90" s="58">
        <f t="shared" si="1"/>
        <v>738000</v>
      </c>
      <c r="AL90" s="58">
        <f t="shared" si="1"/>
        <v>732100</v>
      </c>
      <c r="AM90" s="58">
        <f t="shared" si="1"/>
        <v>727200</v>
      </c>
      <c r="AN90" s="58">
        <f t="shared" si="1"/>
        <v>721700</v>
      </c>
      <c r="AO90" s="58">
        <f t="shared" si="1"/>
        <v>716500</v>
      </c>
    </row>
    <row r="91" spans="2:41" x14ac:dyDescent="0.25">
      <c r="B91" s="4">
        <v>11</v>
      </c>
      <c r="C91" s="4" t="s">
        <v>87</v>
      </c>
      <c r="D91" s="58">
        <f t="shared" si="2"/>
        <v>678965</v>
      </c>
      <c r="E91" s="58">
        <f t="shared" si="2"/>
        <v>678341</v>
      </c>
      <c r="F91" s="58">
        <f t="shared" si="2"/>
        <v>678531</v>
      </c>
      <c r="G91" s="58">
        <f t="shared" si="2"/>
        <v>673541</v>
      </c>
      <c r="H91" s="58">
        <f t="shared" si="2"/>
        <v>669475</v>
      </c>
      <c r="I91" s="58">
        <f t="shared" si="2"/>
        <v>666240</v>
      </c>
      <c r="J91" s="58">
        <f t="shared" si="2"/>
        <v>662059</v>
      </c>
      <c r="K91" s="58">
        <f t="shared" si="2"/>
        <v>657554</v>
      </c>
      <c r="L91" s="58">
        <f t="shared" si="2"/>
        <v>626373</v>
      </c>
      <c r="M91" s="58">
        <f t="shared" si="2"/>
        <v>623932</v>
      </c>
      <c r="N91" s="58">
        <f t="shared" si="2"/>
        <v>612100</v>
      </c>
      <c r="O91" s="58">
        <f t="shared" si="1"/>
        <v>608700</v>
      </c>
      <c r="P91" s="58">
        <f t="shared" si="1"/>
        <v>605700</v>
      </c>
      <c r="Q91" s="58">
        <f t="shared" si="1"/>
        <v>602300</v>
      </c>
      <c r="R91" s="58">
        <f t="shared" si="1"/>
        <v>598800</v>
      </c>
      <c r="S91" s="58">
        <f t="shared" si="1"/>
        <v>596900</v>
      </c>
      <c r="T91" s="58">
        <f t="shared" si="1"/>
        <v>594100</v>
      </c>
      <c r="U91" s="58">
        <f t="shared" si="1"/>
        <v>590500</v>
      </c>
      <c r="V91" s="58">
        <f t="shared" si="1"/>
        <v>587900</v>
      </c>
      <c r="W91" s="58">
        <f t="shared" si="1"/>
        <v>584400</v>
      </c>
      <c r="X91" s="58">
        <f t="shared" si="1"/>
        <v>581700</v>
      </c>
      <c r="Y91" s="58">
        <f t="shared" si="1"/>
        <v>577800</v>
      </c>
      <c r="Z91" s="58">
        <f t="shared" si="1"/>
        <v>573900</v>
      </c>
      <c r="AA91" s="58">
        <f t="shared" si="1"/>
        <v>569200</v>
      </c>
      <c r="AB91" s="58">
        <f t="shared" si="1"/>
        <v>564200</v>
      </c>
      <c r="AC91" s="58">
        <f t="shared" si="1"/>
        <v>558000</v>
      </c>
      <c r="AD91" s="58">
        <f t="shared" si="1"/>
        <v>552700</v>
      </c>
      <c r="AE91" s="58">
        <f t="shared" si="1"/>
        <v>546400</v>
      </c>
      <c r="AF91" s="58">
        <f t="shared" si="1"/>
        <v>540500</v>
      </c>
      <c r="AG91" s="58">
        <f t="shared" si="1"/>
        <v>534800</v>
      </c>
      <c r="AH91" s="58">
        <f t="shared" si="1"/>
        <v>528600</v>
      </c>
      <c r="AI91" s="58">
        <f t="shared" si="1"/>
        <v>522300</v>
      </c>
      <c r="AJ91" s="58">
        <f t="shared" si="1"/>
        <v>515700</v>
      </c>
      <c r="AK91" s="58">
        <f t="shared" si="1"/>
        <v>509200</v>
      </c>
      <c r="AL91" s="58">
        <f t="shared" si="1"/>
        <v>502600</v>
      </c>
      <c r="AM91" s="58">
        <f t="shared" si="1"/>
        <v>496100</v>
      </c>
      <c r="AN91" s="58">
        <f t="shared" si="1"/>
        <v>489700</v>
      </c>
      <c r="AO91" s="58">
        <f t="shared" si="1"/>
        <v>482500</v>
      </c>
    </row>
    <row r="92" spans="2:41" x14ac:dyDescent="0.25">
      <c r="B92" s="4">
        <v>12</v>
      </c>
      <c r="C92" s="4" t="s">
        <v>88</v>
      </c>
      <c r="D92" s="58">
        <f t="shared" si="2"/>
        <v>470347</v>
      </c>
      <c r="E92" s="58">
        <f t="shared" si="2"/>
        <v>477394</v>
      </c>
      <c r="F92" s="58">
        <f t="shared" si="2"/>
        <v>482515</v>
      </c>
      <c r="G92" s="58">
        <f t="shared" si="2"/>
        <v>485925</v>
      </c>
      <c r="H92" s="58">
        <f t="shared" si="2"/>
        <v>489492</v>
      </c>
      <c r="I92" s="58">
        <f t="shared" si="2"/>
        <v>494112</v>
      </c>
      <c r="J92" s="58">
        <f t="shared" si="2"/>
        <v>497390</v>
      </c>
      <c r="K92" s="58">
        <f t="shared" si="2"/>
        <v>499507</v>
      </c>
      <c r="L92" s="58">
        <f t="shared" si="2"/>
        <v>500216</v>
      </c>
      <c r="M92" s="58">
        <f t="shared" si="2"/>
        <v>502948</v>
      </c>
      <c r="N92" s="58">
        <f t="shared" si="2"/>
        <v>493800</v>
      </c>
      <c r="O92" s="58">
        <f t="shared" si="1"/>
        <v>497500</v>
      </c>
      <c r="P92" s="58">
        <f t="shared" si="1"/>
        <v>501400</v>
      </c>
      <c r="Q92" s="58">
        <f t="shared" si="1"/>
        <v>508000</v>
      </c>
      <c r="R92" s="58">
        <f t="shared" si="1"/>
        <v>515100</v>
      </c>
      <c r="S92" s="58">
        <f t="shared" si="1"/>
        <v>522600</v>
      </c>
      <c r="T92" s="58">
        <f t="shared" si="1"/>
        <v>530200</v>
      </c>
      <c r="U92" s="58">
        <f t="shared" si="1"/>
        <v>538900</v>
      </c>
      <c r="V92" s="58">
        <f t="shared" si="1"/>
        <v>546900</v>
      </c>
      <c r="W92" s="58">
        <f t="shared" si="1"/>
        <v>554500</v>
      </c>
      <c r="X92" s="58">
        <f t="shared" si="1"/>
        <v>562600</v>
      </c>
      <c r="Y92" s="58">
        <f t="shared" si="1"/>
        <v>571400</v>
      </c>
      <c r="Z92" s="58">
        <f t="shared" si="1"/>
        <v>579000</v>
      </c>
      <c r="AA92" s="58">
        <f t="shared" si="1"/>
        <v>585800</v>
      </c>
      <c r="AB92" s="58">
        <f t="shared" si="1"/>
        <v>592900</v>
      </c>
      <c r="AC92" s="58">
        <f t="shared" si="1"/>
        <v>599600</v>
      </c>
      <c r="AD92" s="58">
        <f t="shared" si="1"/>
        <v>607900</v>
      </c>
      <c r="AE92" s="58">
        <f t="shared" si="1"/>
        <v>617600</v>
      </c>
      <c r="AF92" s="58">
        <f t="shared" si="1"/>
        <v>626500</v>
      </c>
      <c r="AG92" s="58">
        <f t="shared" si="1"/>
        <v>632500</v>
      </c>
      <c r="AH92" s="58">
        <f t="shared" si="1"/>
        <v>637600</v>
      </c>
      <c r="AI92" s="58">
        <f t="shared" si="1"/>
        <v>643000</v>
      </c>
      <c r="AJ92" s="58">
        <f t="shared" si="1"/>
        <v>647700</v>
      </c>
      <c r="AK92" s="58">
        <f t="shared" si="1"/>
        <v>653400</v>
      </c>
      <c r="AL92" s="58">
        <f t="shared" si="1"/>
        <v>658100</v>
      </c>
      <c r="AM92" s="58">
        <f t="shared" si="1"/>
        <v>663100</v>
      </c>
      <c r="AN92" s="58">
        <f t="shared" si="1"/>
        <v>668600</v>
      </c>
      <c r="AO92" s="58">
        <f t="shared" si="1"/>
        <v>674800</v>
      </c>
    </row>
    <row r="93" spans="2:41" x14ac:dyDescent="0.25">
      <c r="B93" s="4">
        <v>13</v>
      </c>
      <c r="C93" s="4" t="s">
        <v>89</v>
      </c>
      <c r="D93" s="58">
        <f t="shared" si="2"/>
        <v>373188</v>
      </c>
      <c r="E93" s="58">
        <f t="shared" si="2"/>
        <v>382296</v>
      </c>
      <c r="F93" s="58">
        <f t="shared" si="2"/>
        <v>390906</v>
      </c>
      <c r="G93" s="58">
        <f t="shared" si="2"/>
        <v>397511</v>
      </c>
      <c r="H93" s="58">
        <f t="shared" si="2"/>
        <v>404360</v>
      </c>
      <c r="I93" s="58">
        <f t="shared" si="2"/>
        <v>411584</v>
      </c>
      <c r="J93" s="58">
        <f t="shared" si="2"/>
        <v>420449</v>
      </c>
      <c r="K93" s="58">
        <f t="shared" si="2"/>
        <v>428426</v>
      </c>
      <c r="L93" s="58">
        <f t="shared" si="2"/>
        <v>435426</v>
      </c>
      <c r="M93" s="58">
        <f t="shared" si="2"/>
        <v>446167</v>
      </c>
      <c r="N93" s="58">
        <f t="shared" si="2"/>
        <v>439900.00000000006</v>
      </c>
      <c r="O93" s="58">
        <f t="shared" si="1"/>
        <v>451000</v>
      </c>
      <c r="P93" s="58">
        <f t="shared" si="1"/>
        <v>462000</v>
      </c>
      <c r="Q93" s="58">
        <f t="shared" si="1"/>
        <v>474000</v>
      </c>
      <c r="R93" s="58">
        <f t="shared" si="1"/>
        <v>487900</v>
      </c>
      <c r="S93" s="58">
        <f t="shared" si="1"/>
        <v>502100</v>
      </c>
      <c r="T93" s="58">
        <f t="shared" si="1"/>
        <v>516000</v>
      </c>
      <c r="U93" s="58">
        <f t="shared" si="1"/>
        <v>530000</v>
      </c>
      <c r="V93" s="58">
        <f t="shared" si="1"/>
        <v>545000</v>
      </c>
      <c r="W93" s="58">
        <f t="shared" si="1"/>
        <v>561000</v>
      </c>
      <c r="X93" s="58">
        <f t="shared" si="1"/>
        <v>578000</v>
      </c>
      <c r="Y93" s="58">
        <f t="shared" si="1"/>
        <v>594200</v>
      </c>
      <c r="Z93" s="58">
        <f t="shared" si="1"/>
        <v>611700</v>
      </c>
      <c r="AA93" s="58">
        <f t="shared" si="1"/>
        <v>628200</v>
      </c>
      <c r="AB93" s="58">
        <f t="shared" si="1"/>
        <v>644500</v>
      </c>
      <c r="AC93" s="58">
        <f t="shared" si="1"/>
        <v>661200</v>
      </c>
      <c r="AD93" s="58">
        <f t="shared" si="1"/>
        <v>677700</v>
      </c>
      <c r="AE93" s="58">
        <f t="shared" si="1"/>
        <v>696500</v>
      </c>
      <c r="AF93" s="58">
        <f t="shared" si="1"/>
        <v>713500</v>
      </c>
      <c r="AG93" s="58">
        <f t="shared" si="1"/>
        <v>729200</v>
      </c>
      <c r="AH93" s="58">
        <f t="shared" si="1"/>
        <v>744000</v>
      </c>
      <c r="AI93" s="58">
        <f t="shared" si="1"/>
        <v>760000</v>
      </c>
      <c r="AJ93" s="58">
        <f t="shared" si="1"/>
        <v>775599.99999999988</v>
      </c>
      <c r="AK93" s="58">
        <f t="shared" si="1"/>
        <v>790800</v>
      </c>
      <c r="AL93" s="58">
        <f t="shared" si="1"/>
        <v>806900</v>
      </c>
      <c r="AM93" s="58">
        <f t="shared" si="1"/>
        <v>823000</v>
      </c>
      <c r="AN93" s="58">
        <f t="shared" si="1"/>
        <v>839300</v>
      </c>
      <c r="AO93" s="58">
        <f t="shared" si="1"/>
        <v>856800</v>
      </c>
    </row>
    <row r="94" spans="2:41" x14ac:dyDescent="0.25">
      <c r="B94" s="4">
        <v>14</v>
      </c>
      <c r="C94" s="4" t="s">
        <v>90</v>
      </c>
      <c r="D94" s="58">
        <f t="shared" si="2"/>
        <v>570089</v>
      </c>
      <c r="E94" s="58">
        <f t="shared" si="2"/>
        <v>569937</v>
      </c>
      <c r="F94" s="58">
        <f t="shared" si="2"/>
        <v>569002</v>
      </c>
      <c r="G94" s="58">
        <f t="shared" si="2"/>
        <v>565185</v>
      </c>
      <c r="H94" s="58">
        <f t="shared" si="2"/>
        <v>560812</v>
      </c>
      <c r="I94" s="58">
        <f t="shared" si="2"/>
        <v>557404</v>
      </c>
      <c r="J94" s="58">
        <f t="shared" si="2"/>
        <v>553046</v>
      </c>
      <c r="K94" s="58">
        <f t="shared" si="2"/>
        <v>549331</v>
      </c>
      <c r="L94" s="58">
        <f t="shared" si="2"/>
        <v>550993</v>
      </c>
      <c r="M94" s="58">
        <f t="shared" si="2"/>
        <v>549199</v>
      </c>
      <c r="N94" s="58">
        <f t="shared" si="2"/>
        <v>539300</v>
      </c>
      <c r="O94" s="58">
        <f t="shared" si="1"/>
        <v>537000</v>
      </c>
      <c r="P94" s="58">
        <f t="shared" si="1"/>
        <v>534300</v>
      </c>
      <c r="Q94" s="58">
        <f t="shared" si="1"/>
        <v>533400</v>
      </c>
      <c r="R94" s="58">
        <f t="shared" si="1"/>
        <v>531500</v>
      </c>
      <c r="S94" s="58">
        <f t="shared" si="1"/>
        <v>531100</v>
      </c>
      <c r="T94" s="58">
        <f t="shared" si="1"/>
        <v>529400</v>
      </c>
      <c r="U94" s="58">
        <f t="shared" si="1"/>
        <v>527800</v>
      </c>
      <c r="V94" s="58">
        <f t="shared" si="1"/>
        <v>526500</v>
      </c>
      <c r="W94" s="58">
        <f t="shared" si="1"/>
        <v>525000</v>
      </c>
      <c r="X94" s="58">
        <f t="shared" si="1"/>
        <v>523500</v>
      </c>
      <c r="Y94" s="58">
        <f t="shared" si="1"/>
        <v>521600</v>
      </c>
      <c r="Z94" s="58">
        <f t="shared" si="1"/>
        <v>519500</v>
      </c>
      <c r="AA94" s="58">
        <f t="shared" si="1"/>
        <v>516800</v>
      </c>
      <c r="AB94" s="58">
        <f t="shared" si="1"/>
        <v>513700</v>
      </c>
      <c r="AC94" s="58">
        <f t="shared" si="1"/>
        <v>510300</v>
      </c>
      <c r="AD94" s="58">
        <f t="shared" si="1"/>
        <v>506600</v>
      </c>
      <c r="AE94" s="58">
        <f t="shared" si="1"/>
        <v>502800</v>
      </c>
      <c r="AF94" s="58">
        <f t="shared" si="1"/>
        <v>498600</v>
      </c>
      <c r="AG94" s="58">
        <f t="shared" si="1"/>
        <v>494200</v>
      </c>
      <c r="AH94" s="58">
        <f t="shared" si="1"/>
        <v>489300</v>
      </c>
      <c r="AI94" s="58">
        <f t="shared" si="1"/>
        <v>485300</v>
      </c>
      <c r="AJ94" s="58">
        <f t="shared" si="1"/>
        <v>481100</v>
      </c>
      <c r="AK94" s="58">
        <f t="shared" si="1"/>
        <v>475800</v>
      </c>
      <c r="AL94" s="58">
        <f t="shared" si="1"/>
        <v>471600</v>
      </c>
      <c r="AM94" s="58">
        <f t="shared" si="1"/>
        <v>466500</v>
      </c>
      <c r="AN94" s="58">
        <f t="shared" si="1"/>
        <v>461700</v>
      </c>
      <c r="AO94" s="58">
        <f t="shared" si="1"/>
        <v>457000</v>
      </c>
    </row>
    <row r="95" spans="2:41" x14ac:dyDescent="0.25">
      <c r="B95" s="4">
        <v>15</v>
      </c>
      <c r="C95" s="4" t="s">
        <v>91</v>
      </c>
      <c r="D95" s="58">
        <f t="shared" si="2"/>
        <v>439621</v>
      </c>
      <c r="E95" s="58">
        <f t="shared" si="2"/>
        <v>435762</v>
      </c>
      <c r="F95" s="58">
        <f t="shared" si="2"/>
        <v>433099</v>
      </c>
      <c r="G95" s="58">
        <f t="shared" si="2"/>
        <v>427065</v>
      </c>
      <c r="H95" s="58">
        <f t="shared" si="2"/>
        <v>422305</v>
      </c>
      <c r="I95" s="58">
        <f t="shared" si="2"/>
        <v>418724</v>
      </c>
      <c r="J95" s="58">
        <f t="shared" si="2"/>
        <v>413786</v>
      </c>
      <c r="K95" s="58">
        <f t="shared" si="2"/>
        <v>409281</v>
      </c>
      <c r="L95" s="58">
        <f t="shared" si="2"/>
        <v>409521</v>
      </c>
      <c r="M95" s="58">
        <f t="shared" si="2"/>
        <v>405739</v>
      </c>
      <c r="N95" s="58">
        <f t="shared" si="2"/>
        <v>397100</v>
      </c>
      <c r="O95" s="58">
        <f t="shared" si="1"/>
        <v>393300</v>
      </c>
      <c r="P95" s="58">
        <f t="shared" si="1"/>
        <v>389700</v>
      </c>
      <c r="Q95" s="58">
        <f t="shared" si="1"/>
        <v>386400</v>
      </c>
      <c r="R95" s="58">
        <f t="shared" si="1"/>
        <v>382800</v>
      </c>
      <c r="S95" s="58">
        <f t="shared" si="1"/>
        <v>379500</v>
      </c>
      <c r="T95" s="58">
        <f t="shared" si="1"/>
        <v>375200</v>
      </c>
      <c r="U95" s="58">
        <f t="shared" si="1"/>
        <v>371600</v>
      </c>
      <c r="V95" s="58">
        <f t="shared" si="1"/>
        <v>367200</v>
      </c>
      <c r="W95" s="58">
        <f t="shared" si="1"/>
        <v>362800</v>
      </c>
      <c r="X95" s="58">
        <f t="shared" si="1"/>
        <v>359300</v>
      </c>
      <c r="Y95" s="58">
        <f t="shared" si="1"/>
        <v>354400</v>
      </c>
      <c r="Z95" s="58">
        <f t="shared" si="1"/>
        <v>349600</v>
      </c>
      <c r="AA95" s="58">
        <f t="shared" si="1"/>
        <v>344500</v>
      </c>
      <c r="AB95" s="58">
        <f t="shared" si="1"/>
        <v>339100</v>
      </c>
      <c r="AC95" s="58">
        <f t="shared" si="1"/>
        <v>333500</v>
      </c>
      <c r="AD95" s="58">
        <f t="shared" si="1"/>
        <v>327600</v>
      </c>
      <c r="AE95" s="58">
        <f t="shared" si="1"/>
        <v>321500</v>
      </c>
      <c r="AF95" s="58">
        <f t="shared" si="1"/>
        <v>315500</v>
      </c>
      <c r="AG95" s="58">
        <f t="shared" si="1"/>
        <v>309600</v>
      </c>
      <c r="AH95" s="58">
        <f t="shared" si="1"/>
        <v>303600</v>
      </c>
      <c r="AI95" s="58">
        <f t="shared" si="1"/>
        <v>297500</v>
      </c>
      <c r="AJ95" s="58">
        <f t="shared" si="1"/>
        <v>292400</v>
      </c>
      <c r="AK95" s="58">
        <f t="shared" si="1"/>
        <v>286200</v>
      </c>
      <c r="AL95" s="58">
        <f t="shared" si="1"/>
        <v>280100</v>
      </c>
      <c r="AM95" s="58">
        <f t="shared" si="1"/>
        <v>274000</v>
      </c>
      <c r="AN95" s="58">
        <f t="shared" si="1"/>
        <v>269200</v>
      </c>
      <c r="AO95" s="58">
        <f t="shared" si="1"/>
        <v>263400</v>
      </c>
    </row>
    <row r="96" spans="2:41" x14ac:dyDescent="0.25">
      <c r="B96" s="4">
        <v>16</v>
      </c>
      <c r="C96" s="4" t="s">
        <v>92</v>
      </c>
      <c r="D96" s="58">
        <f t="shared" si="2"/>
        <v>1652787</v>
      </c>
      <c r="E96" s="58">
        <f t="shared" si="2"/>
        <v>1679300</v>
      </c>
      <c r="F96" s="58">
        <f t="shared" si="2"/>
        <v>1700018</v>
      </c>
      <c r="G96" s="58">
        <f t="shared" si="2"/>
        <v>1134338</v>
      </c>
      <c r="H96" s="58">
        <f t="shared" si="2"/>
        <v>1135996</v>
      </c>
      <c r="I96" s="58">
        <f t="shared" si="2"/>
        <v>1131285</v>
      </c>
      <c r="J96" s="58">
        <f t="shared" si="2"/>
        <v>1146583</v>
      </c>
      <c r="K96" s="58">
        <f t="shared" si="2"/>
        <v>1154870</v>
      </c>
      <c r="L96" s="58">
        <f t="shared" si="2"/>
        <v>1189290</v>
      </c>
      <c r="M96" s="58">
        <f t="shared" si="2"/>
        <v>1201715</v>
      </c>
      <c r="N96" s="58">
        <f t="shared" si="2"/>
        <v>1165400</v>
      </c>
      <c r="O96" s="58">
        <f t="shared" si="1"/>
        <v>1174400</v>
      </c>
      <c r="P96" s="58">
        <f t="shared" si="1"/>
        <v>1184600</v>
      </c>
      <c r="Q96" s="58">
        <f t="shared" si="1"/>
        <v>1199400</v>
      </c>
      <c r="R96" s="58">
        <f t="shared" si="1"/>
        <v>1217300</v>
      </c>
      <c r="S96" s="58">
        <f t="shared" si="1"/>
        <v>1236000</v>
      </c>
      <c r="T96" s="58">
        <f t="shared" si="1"/>
        <v>1254000</v>
      </c>
      <c r="U96" s="58">
        <f t="shared" si="1"/>
        <v>1273100</v>
      </c>
      <c r="V96" s="58">
        <f t="shared" si="1"/>
        <v>1291900</v>
      </c>
      <c r="W96" s="58">
        <f t="shared" si="1"/>
        <v>1310600</v>
      </c>
      <c r="X96" s="58">
        <f t="shared" si="1"/>
        <v>1329100</v>
      </c>
      <c r="Y96" s="58">
        <f t="shared" si="1"/>
        <v>1348000</v>
      </c>
      <c r="Z96" s="58">
        <f t="shared" si="1"/>
        <v>1365500</v>
      </c>
      <c r="AA96" s="58">
        <f t="shared" si="1"/>
        <v>1381800</v>
      </c>
      <c r="AB96" s="58">
        <f t="shared" si="1"/>
        <v>1398699.9999999998</v>
      </c>
      <c r="AC96" s="58">
        <f t="shared" si="1"/>
        <v>1414000</v>
      </c>
      <c r="AD96" s="58">
        <f t="shared" si="1"/>
        <v>1428800</v>
      </c>
      <c r="AE96" s="58">
        <f t="shared" si="1"/>
        <v>1443100</v>
      </c>
      <c r="AF96" s="58">
        <f t="shared" si="1"/>
        <v>1458500</v>
      </c>
      <c r="AG96" s="58">
        <f t="shared" si="1"/>
        <v>1474500</v>
      </c>
      <c r="AH96" s="58">
        <f t="shared" si="1"/>
        <v>1487800.0000000002</v>
      </c>
      <c r="AI96" s="58">
        <f t="shared" si="1"/>
        <v>1502100</v>
      </c>
      <c r="AJ96" s="58">
        <f t="shared" si="1"/>
        <v>1515800</v>
      </c>
      <c r="AK96" s="58">
        <f t="shared" si="1"/>
        <v>1531699.9999999998</v>
      </c>
      <c r="AL96" s="58">
        <f t="shared" si="1"/>
        <v>1547200</v>
      </c>
      <c r="AM96" s="58">
        <f t="shared" si="1"/>
        <v>1564800</v>
      </c>
      <c r="AN96" s="58">
        <f t="shared" si="1"/>
        <v>1584700</v>
      </c>
      <c r="AO96" s="58">
        <f t="shared" si="1"/>
        <v>1605900</v>
      </c>
    </row>
    <row r="97" spans="2:41" x14ac:dyDescent="0.25">
      <c r="B97" s="4">
        <v>17</v>
      </c>
      <c r="C97" s="4" t="s">
        <v>93</v>
      </c>
      <c r="D97" s="58">
        <f t="shared" si="2"/>
        <v>0</v>
      </c>
      <c r="E97" s="58">
        <f t="shared" si="2"/>
        <v>0</v>
      </c>
      <c r="F97" s="58">
        <f t="shared" si="2"/>
        <v>0</v>
      </c>
      <c r="G97" s="58">
        <f t="shared" si="2"/>
        <v>0</v>
      </c>
      <c r="H97" s="58">
        <f t="shared" si="2"/>
        <v>0</v>
      </c>
      <c r="I97" s="58">
        <f t="shared" si="2"/>
        <v>0</v>
      </c>
      <c r="J97" s="58">
        <f t="shared" si="2"/>
        <v>0</v>
      </c>
      <c r="K97" s="58">
        <f t="shared" si="2"/>
        <v>0</v>
      </c>
      <c r="L97" s="58">
        <f t="shared" si="2"/>
        <v>147543</v>
      </c>
      <c r="M97" s="58">
        <f t="shared" si="2"/>
        <v>146672</v>
      </c>
      <c r="N97" s="58">
        <f t="shared" si="2"/>
        <v>142000</v>
      </c>
      <c r="O97" s="58">
        <f t="shared" si="1"/>
        <v>141100</v>
      </c>
      <c r="P97" s="58">
        <f t="shared" ref="O97:AO100" si="3">P21-P71</f>
        <v>139400</v>
      </c>
      <c r="Q97" s="58">
        <f t="shared" si="3"/>
        <v>138000</v>
      </c>
      <c r="R97" s="58">
        <f t="shared" si="3"/>
        <v>136900</v>
      </c>
      <c r="S97" s="58">
        <f t="shared" si="3"/>
        <v>136100</v>
      </c>
      <c r="T97" s="58">
        <f t="shared" si="3"/>
        <v>135200</v>
      </c>
      <c r="U97" s="58">
        <f t="shared" si="3"/>
        <v>134600</v>
      </c>
      <c r="V97" s="58">
        <f t="shared" si="3"/>
        <v>133900</v>
      </c>
      <c r="W97" s="58">
        <f t="shared" si="3"/>
        <v>132200</v>
      </c>
      <c r="X97" s="58">
        <f t="shared" si="3"/>
        <v>132500</v>
      </c>
      <c r="Y97" s="58">
        <f t="shared" si="3"/>
        <v>131800</v>
      </c>
      <c r="Z97" s="58">
        <f t="shared" si="3"/>
        <v>130800</v>
      </c>
      <c r="AA97" s="58">
        <f t="shared" si="3"/>
        <v>129800.00000000001</v>
      </c>
      <c r="AB97" s="58">
        <f t="shared" si="3"/>
        <v>128800</v>
      </c>
      <c r="AC97" s="58">
        <f t="shared" si="3"/>
        <v>128600</v>
      </c>
      <c r="AD97" s="58">
        <f t="shared" si="3"/>
        <v>127400</v>
      </c>
      <c r="AE97" s="58">
        <f t="shared" si="3"/>
        <v>127200</v>
      </c>
      <c r="AF97" s="58">
        <f t="shared" si="3"/>
        <v>125900</v>
      </c>
      <c r="AG97" s="58">
        <f t="shared" si="3"/>
        <v>125300</v>
      </c>
      <c r="AH97" s="58">
        <f t="shared" si="3"/>
        <v>124400</v>
      </c>
      <c r="AI97" s="58">
        <f t="shared" si="3"/>
        <v>123400</v>
      </c>
      <c r="AJ97" s="58">
        <f t="shared" si="3"/>
        <v>122199.99999999999</v>
      </c>
      <c r="AK97" s="58">
        <f t="shared" si="3"/>
        <v>121000</v>
      </c>
      <c r="AL97" s="58">
        <f t="shared" si="3"/>
        <v>119800</v>
      </c>
      <c r="AM97" s="58">
        <f t="shared" si="3"/>
        <v>118600</v>
      </c>
      <c r="AN97" s="58">
        <f t="shared" si="3"/>
        <v>118400</v>
      </c>
      <c r="AO97" s="58">
        <f t="shared" si="3"/>
        <v>117400</v>
      </c>
    </row>
    <row r="98" spans="2:41" x14ac:dyDescent="0.25">
      <c r="B98" s="4">
        <v>18</v>
      </c>
      <c r="C98" s="4" t="s">
        <v>94</v>
      </c>
      <c r="D98" s="58">
        <f t="shared" si="2"/>
        <v>1162114</v>
      </c>
      <c r="E98" s="58">
        <f t="shared" si="2"/>
        <v>1256573</v>
      </c>
      <c r="F98" s="58">
        <f t="shared" si="2"/>
        <v>1296576</v>
      </c>
      <c r="G98" s="58">
        <f t="shared" si="2"/>
        <v>1326277</v>
      </c>
      <c r="H98" s="58">
        <f t="shared" si="2"/>
        <v>1355774</v>
      </c>
      <c r="I98" s="58">
        <f t="shared" si="2"/>
        <v>1384190</v>
      </c>
      <c r="J98" s="58">
        <f t="shared" si="2"/>
        <v>1417351</v>
      </c>
      <c r="K98" s="58">
        <f t="shared" si="2"/>
        <v>1449519</v>
      </c>
      <c r="L98" s="58">
        <f t="shared" si="2"/>
        <v>1463033</v>
      </c>
      <c r="M98" s="58">
        <f t="shared" si="2"/>
        <v>1514641</v>
      </c>
      <c r="N98" s="58">
        <f t="shared" si="2"/>
        <v>1499300</v>
      </c>
      <c r="O98" s="58">
        <f t="shared" si="3"/>
        <v>1541600</v>
      </c>
      <c r="P98" s="58">
        <f t="shared" si="3"/>
        <v>1583900</v>
      </c>
      <c r="Q98" s="58">
        <f t="shared" si="3"/>
        <v>1627100</v>
      </c>
      <c r="R98" s="58">
        <f t="shared" si="3"/>
        <v>1672400</v>
      </c>
      <c r="S98" s="58">
        <f t="shared" si="3"/>
        <v>1717200</v>
      </c>
      <c r="T98" s="58">
        <f t="shared" si="3"/>
        <v>1762300</v>
      </c>
      <c r="U98" s="58">
        <f t="shared" si="3"/>
        <v>1807200</v>
      </c>
      <c r="V98" s="58">
        <f t="shared" si="3"/>
        <v>1851200</v>
      </c>
      <c r="W98" s="58">
        <f t="shared" si="3"/>
        <v>1896600</v>
      </c>
      <c r="X98" s="58">
        <f t="shared" si="3"/>
        <v>1942800</v>
      </c>
      <c r="Y98" s="58">
        <f t="shared" si="3"/>
        <v>1989300</v>
      </c>
      <c r="Z98" s="58">
        <f t="shared" si="3"/>
        <v>2035500</v>
      </c>
      <c r="AA98" s="58">
        <f t="shared" si="3"/>
        <v>2080900</v>
      </c>
      <c r="AB98" s="58">
        <f t="shared" si="3"/>
        <v>2125100</v>
      </c>
      <c r="AC98" s="58">
        <f t="shared" si="3"/>
        <v>2170400</v>
      </c>
      <c r="AD98" s="58">
        <f t="shared" si="3"/>
        <v>2221100</v>
      </c>
      <c r="AE98" s="58">
        <f t="shared" si="3"/>
        <v>2273500</v>
      </c>
      <c r="AF98" s="58">
        <f t="shared" si="3"/>
        <v>2318200</v>
      </c>
      <c r="AG98" s="58">
        <f t="shared" si="3"/>
        <v>2356700</v>
      </c>
      <c r="AH98" s="58">
        <f t="shared" si="3"/>
        <v>2395200</v>
      </c>
      <c r="AI98" s="58">
        <f t="shared" si="3"/>
        <v>2434800</v>
      </c>
      <c r="AJ98" s="58">
        <f t="shared" si="3"/>
        <v>2473700</v>
      </c>
      <c r="AK98" s="58">
        <f t="shared" si="3"/>
        <v>2514100</v>
      </c>
      <c r="AL98" s="58">
        <f t="shared" si="3"/>
        <v>2553800</v>
      </c>
      <c r="AM98" s="58">
        <f t="shared" si="3"/>
        <v>2592000</v>
      </c>
      <c r="AN98" s="58">
        <f t="shared" si="3"/>
        <v>2630700</v>
      </c>
      <c r="AO98" s="58">
        <f t="shared" si="3"/>
        <v>2669900</v>
      </c>
    </row>
    <row r="99" spans="2:41" x14ac:dyDescent="0.25">
      <c r="B99" s="4">
        <v>19</v>
      </c>
      <c r="C99" s="4" t="s">
        <v>95</v>
      </c>
      <c r="D99" s="58">
        <f t="shared" si="2"/>
        <v>593100</v>
      </c>
      <c r="E99" s="58">
        <f t="shared" si="2"/>
        <v>611155</v>
      </c>
      <c r="F99" s="58">
        <f t="shared" si="2"/>
        <v>614062</v>
      </c>
      <c r="G99" s="58">
        <f t="shared" si="2"/>
        <v>674332</v>
      </c>
      <c r="H99" s="58">
        <f t="shared" si="2"/>
        <v>708307</v>
      </c>
      <c r="I99" s="58">
        <f t="shared" si="2"/>
        <v>732115</v>
      </c>
      <c r="J99" s="58">
        <f t="shared" si="2"/>
        <v>761998</v>
      </c>
      <c r="K99" s="58">
        <f t="shared" si="2"/>
        <v>785931</v>
      </c>
      <c r="L99" s="58">
        <f t="shared" si="2"/>
        <v>868230</v>
      </c>
      <c r="M99" s="58">
        <f t="shared" si="2"/>
        <v>910054</v>
      </c>
      <c r="N99" s="58">
        <f t="shared" si="2"/>
        <v>913400</v>
      </c>
      <c r="O99" s="58">
        <f t="shared" si="3"/>
        <v>953300</v>
      </c>
      <c r="P99" s="58">
        <f t="shared" si="3"/>
        <v>994800</v>
      </c>
      <c r="Q99" s="58">
        <f t="shared" si="3"/>
        <v>1036800</v>
      </c>
      <c r="R99" s="58">
        <f t="shared" si="3"/>
        <v>1081300</v>
      </c>
      <c r="S99" s="58">
        <f t="shared" si="3"/>
        <v>1125400</v>
      </c>
      <c r="T99" s="58">
        <f t="shared" si="3"/>
        <v>1170600</v>
      </c>
      <c r="U99" s="58">
        <f t="shared" si="3"/>
        <v>1216200</v>
      </c>
      <c r="V99" s="58">
        <f t="shared" si="3"/>
        <v>1262400</v>
      </c>
      <c r="W99" s="58">
        <f t="shared" si="3"/>
        <v>1308700</v>
      </c>
      <c r="X99" s="58">
        <f t="shared" si="3"/>
        <v>1355900</v>
      </c>
      <c r="Y99" s="58">
        <f t="shared" si="3"/>
        <v>1404100</v>
      </c>
      <c r="Z99" s="58">
        <f t="shared" si="3"/>
        <v>1451400</v>
      </c>
      <c r="AA99" s="58">
        <f t="shared" si="3"/>
        <v>1498900</v>
      </c>
      <c r="AB99" s="58">
        <f t="shared" si="3"/>
        <v>1547100</v>
      </c>
      <c r="AC99" s="58">
        <f t="shared" si="3"/>
        <v>1595100</v>
      </c>
      <c r="AD99" s="58">
        <f t="shared" si="3"/>
        <v>1643600</v>
      </c>
      <c r="AE99" s="58">
        <f t="shared" si="3"/>
        <v>1693000</v>
      </c>
      <c r="AF99" s="58">
        <f t="shared" si="3"/>
        <v>1741800</v>
      </c>
      <c r="AG99" s="58">
        <f t="shared" si="3"/>
        <v>1786600</v>
      </c>
      <c r="AH99" s="58">
        <f t="shared" si="3"/>
        <v>1831700</v>
      </c>
      <c r="AI99" s="58">
        <f t="shared" si="3"/>
        <v>1877200</v>
      </c>
      <c r="AJ99" s="58">
        <f t="shared" si="3"/>
        <v>1922400</v>
      </c>
      <c r="AK99" s="58">
        <f t="shared" si="3"/>
        <v>1967100</v>
      </c>
      <c r="AL99" s="58">
        <f t="shared" si="3"/>
        <v>2011800</v>
      </c>
      <c r="AM99" s="58">
        <f t="shared" si="3"/>
        <v>2056500</v>
      </c>
      <c r="AN99" s="58">
        <f t="shared" si="3"/>
        <v>2101200</v>
      </c>
      <c r="AO99" s="58">
        <f t="shared" si="3"/>
        <v>2145000</v>
      </c>
    </row>
    <row r="100" spans="2:41" x14ac:dyDescent="0.25">
      <c r="B100" s="4">
        <v>20</v>
      </c>
      <c r="C100" s="4" t="s">
        <v>96</v>
      </c>
      <c r="D100" s="58">
        <f t="shared" si="2"/>
        <v>0</v>
      </c>
      <c r="E100" s="58">
        <f t="shared" si="2"/>
        <v>0</v>
      </c>
      <c r="F100" s="58">
        <f t="shared" si="2"/>
        <v>0</v>
      </c>
      <c r="G100" s="58">
        <f t="shared" si="2"/>
        <v>576419</v>
      </c>
      <c r="H100" s="58">
        <f t="shared" si="2"/>
        <v>595618</v>
      </c>
      <c r="I100" s="58">
        <f t="shared" si="2"/>
        <v>631249</v>
      </c>
      <c r="J100" s="58">
        <f t="shared" si="2"/>
        <v>643713</v>
      </c>
      <c r="K100" s="58">
        <f t="shared" si="2"/>
        <v>658186</v>
      </c>
      <c r="L100" s="58">
        <f t="shared" si="2"/>
        <v>693219</v>
      </c>
      <c r="M100" s="58">
        <f t="shared" si="2"/>
        <v>709166</v>
      </c>
      <c r="N100" s="58">
        <f t="shared" si="2"/>
        <v>707800</v>
      </c>
      <c r="O100" s="58">
        <f t="shared" si="3"/>
        <v>729400</v>
      </c>
      <c r="P100" s="58">
        <f t="shared" si="3"/>
        <v>752600</v>
      </c>
      <c r="Q100" s="58">
        <f t="shared" si="3"/>
        <v>776300</v>
      </c>
      <c r="R100" s="58">
        <f t="shared" si="3"/>
        <v>803000</v>
      </c>
      <c r="S100" s="58">
        <f t="shared" si="3"/>
        <v>829900</v>
      </c>
      <c r="T100" s="58">
        <f t="shared" si="3"/>
        <v>856200</v>
      </c>
      <c r="U100" s="58">
        <f t="shared" si="3"/>
        <v>883400</v>
      </c>
      <c r="V100" s="58">
        <f t="shared" si="3"/>
        <v>910099.99999999988</v>
      </c>
      <c r="W100" s="58">
        <f t="shared" si="3"/>
        <v>937400</v>
      </c>
      <c r="X100" s="58">
        <f t="shared" si="3"/>
        <v>965100</v>
      </c>
      <c r="Y100" s="58">
        <f t="shared" si="3"/>
        <v>993500</v>
      </c>
      <c r="Z100" s="58">
        <f t="shared" si="3"/>
        <v>1021500</v>
      </c>
      <c r="AA100" s="58">
        <f t="shared" si="3"/>
        <v>1049500</v>
      </c>
      <c r="AB100" s="58">
        <f t="shared" si="3"/>
        <v>1076300</v>
      </c>
      <c r="AC100" s="58">
        <f t="shared" si="3"/>
        <v>1106000</v>
      </c>
      <c r="AD100" s="58">
        <f t="shared" si="3"/>
        <v>1140800</v>
      </c>
      <c r="AE100" s="58">
        <f t="shared" si="3"/>
        <v>1181600</v>
      </c>
      <c r="AF100" s="58">
        <f t="shared" si="3"/>
        <v>1216300</v>
      </c>
      <c r="AG100" s="58">
        <f t="shared" si="3"/>
        <v>1244300</v>
      </c>
      <c r="AH100" s="58">
        <f t="shared" si="3"/>
        <v>1271300</v>
      </c>
      <c r="AI100" s="58">
        <f t="shared" si="3"/>
        <v>1299400</v>
      </c>
      <c r="AJ100" s="58">
        <f t="shared" si="3"/>
        <v>1327100</v>
      </c>
      <c r="AK100" s="58">
        <f t="shared" si="3"/>
        <v>1355700</v>
      </c>
      <c r="AL100" s="58">
        <f t="shared" si="3"/>
        <v>1384500</v>
      </c>
      <c r="AM100" s="58">
        <f t="shared" si="3"/>
        <v>1412300</v>
      </c>
      <c r="AN100" s="58">
        <f t="shared" si="3"/>
        <v>1441700</v>
      </c>
      <c r="AO100" s="58">
        <f t="shared" si="3"/>
        <v>1471600</v>
      </c>
    </row>
    <row r="101" spans="2:41" x14ac:dyDescent="0.25">
      <c r="B101" s="4"/>
      <c r="C101" s="4" t="s">
        <v>97</v>
      </c>
      <c r="D101" s="79">
        <v>12010071</v>
      </c>
      <c r="E101" s="79">
        <v>12118438</v>
      </c>
      <c r="F101" s="79">
        <v>12209810</v>
      </c>
      <c r="G101" s="79">
        <v>12293659</v>
      </c>
      <c r="H101" s="79">
        <v>12372847</v>
      </c>
      <c r="I101" s="79">
        <v>12451263</v>
      </c>
      <c r="J101" s="79">
        <v>12521623</v>
      </c>
      <c r="K101" s="79">
        <v>12583962</v>
      </c>
      <c r="L101" s="79">
        <v>12886159</v>
      </c>
      <c r="M101" s="79">
        <v>13028790</v>
      </c>
      <c r="N101" s="79">
        <v>12836200</v>
      </c>
      <c r="O101" s="79">
        <v>12983600</v>
      </c>
      <c r="P101" s="79">
        <v>13141800</v>
      </c>
      <c r="Q101" s="79">
        <v>13319400</v>
      </c>
      <c r="R101" s="79">
        <v>13519000</v>
      </c>
      <c r="S101" s="79">
        <v>13729500</v>
      </c>
      <c r="T101" s="79">
        <v>13931800</v>
      </c>
      <c r="U101" s="79">
        <v>14139700</v>
      </c>
      <c r="V101" s="79">
        <v>14343000</v>
      </c>
      <c r="W101" s="79">
        <v>14550300</v>
      </c>
      <c r="X101" s="79">
        <v>14763900</v>
      </c>
      <c r="Y101" s="79">
        <v>14977000</v>
      </c>
      <c r="Z101" s="79">
        <v>15183900</v>
      </c>
      <c r="AA101" s="79">
        <v>15380800</v>
      </c>
      <c r="AB101" s="79">
        <v>15572700</v>
      </c>
      <c r="AC101" s="79">
        <v>15763800</v>
      </c>
      <c r="AD101" s="79">
        <v>15960800</v>
      </c>
      <c r="AE101" s="79">
        <v>16173600</v>
      </c>
      <c r="AF101" s="79">
        <v>16369400</v>
      </c>
      <c r="AG101" s="79">
        <v>16540100</v>
      </c>
      <c r="AH101" s="79">
        <v>16699700</v>
      </c>
      <c r="AI101" s="79">
        <v>16864000</v>
      </c>
      <c r="AJ101" s="79">
        <v>17025400</v>
      </c>
      <c r="AK101" s="79">
        <v>17190900</v>
      </c>
      <c r="AL101" s="79">
        <v>17352200</v>
      </c>
      <c r="AM101" s="79">
        <v>17516000</v>
      </c>
      <c r="AN101" s="79">
        <v>17690300</v>
      </c>
      <c r="AO101" s="79">
        <v>17868600</v>
      </c>
    </row>
    <row r="104" spans="2:41" x14ac:dyDescent="0.25">
      <c r="C104" s="108" t="s">
        <v>107</v>
      </c>
      <c r="L104" s="101"/>
      <c r="M104" s="101"/>
    </row>
    <row r="105" spans="2:41" x14ac:dyDescent="0.25">
      <c r="B105" s="4"/>
      <c r="C105" s="4"/>
      <c r="D105" s="4"/>
      <c r="E105" s="4"/>
      <c r="F105" s="4"/>
      <c r="G105" s="4"/>
      <c r="H105" s="4"/>
      <c r="I105" s="213" t="s">
        <v>108</v>
      </c>
      <c r="J105" s="213"/>
      <c r="K105" s="213"/>
      <c r="L105" s="213"/>
      <c r="M105" s="213"/>
      <c r="N105" s="214" t="s">
        <v>109</v>
      </c>
      <c r="O105" s="214"/>
      <c r="P105" s="214"/>
      <c r="Q105" s="214"/>
      <c r="R105" s="214"/>
      <c r="S105" s="214"/>
      <c r="T105" s="214"/>
      <c r="U105" s="214"/>
    </row>
    <row r="106" spans="2:41" x14ac:dyDescent="0.25">
      <c r="B106" s="4" t="s">
        <v>75</v>
      </c>
      <c r="C106" s="4" t="s">
        <v>76</v>
      </c>
      <c r="D106" s="120">
        <v>2013</v>
      </c>
      <c r="E106" s="120">
        <v>2014</v>
      </c>
      <c r="F106" s="120">
        <v>2015</v>
      </c>
      <c r="G106" s="120">
        <v>2016</v>
      </c>
      <c r="H106" s="120">
        <v>2017</v>
      </c>
      <c r="I106" s="120">
        <v>2018</v>
      </c>
      <c r="J106" s="120">
        <v>2019</v>
      </c>
      <c r="K106" s="120">
        <v>2020</v>
      </c>
      <c r="L106" s="120">
        <v>2021</v>
      </c>
      <c r="M106" s="120">
        <v>2022</v>
      </c>
      <c r="N106" s="103">
        <v>2023</v>
      </c>
      <c r="O106" s="103">
        <v>2024</v>
      </c>
      <c r="P106" s="103">
        <v>2025</v>
      </c>
      <c r="Q106" s="103">
        <v>2026</v>
      </c>
      <c r="R106" s="103">
        <v>2027</v>
      </c>
      <c r="S106" s="103">
        <v>2028</v>
      </c>
      <c r="T106" s="103">
        <v>2029</v>
      </c>
      <c r="U106" s="103">
        <v>2030</v>
      </c>
      <c r="V106" s="104">
        <v>2031</v>
      </c>
      <c r="W106" s="104">
        <v>2032</v>
      </c>
      <c r="X106" s="104">
        <v>2033</v>
      </c>
      <c r="Y106" s="104">
        <v>2034</v>
      </c>
      <c r="Z106" s="104">
        <v>2035</v>
      </c>
      <c r="AA106" s="104">
        <v>2036</v>
      </c>
      <c r="AB106" s="104">
        <v>2037</v>
      </c>
      <c r="AC106" s="104">
        <v>2038</v>
      </c>
      <c r="AD106" s="104">
        <v>2039</v>
      </c>
      <c r="AE106" s="104">
        <v>2040</v>
      </c>
      <c r="AF106" s="103">
        <v>2041</v>
      </c>
      <c r="AG106" s="103">
        <v>2042</v>
      </c>
      <c r="AH106" s="103">
        <v>2043</v>
      </c>
      <c r="AI106" s="103">
        <v>2044</v>
      </c>
      <c r="AJ106" s="103">
        <v>2045</v>
      </c>
      <c r="AK106" s="103">
        <v>2046</v>
      </c>
      <c r="AL106" s="103">
        <v>2047</v>
      </c>
      <c r="AM106" s="103">
        <v>2048</v>
      </c>
      <c r="AN106" s="103">
        <v>2049</v>
      </c>
      <c r="AO106" s="103">
        <v>2050</v>
      </c>
    </row>
    <row r="107" spans="2:41" x14ac:dyDescent="0.25">
      <c r="B107" s="4">
        <v>1</v>
      </c>
      <c r="C107" s="4" t="s">
        <v>77</v>
      </c>
      <c r="D107" s="15"/>
      <c r="E107" s="15"/>
      <c r="F107" s="15"/>
      <c r="G107" s="15"/>
      <c r="H107" s="15"/>
      <c r="I107" s="15"/>
      <c r="J107" s="15"/>
      <c r="K107" s="15"/>
      <c r="L107" s="15">
        <v>11489</v>
      </c>
      <c r="M107" s="15">
        <v>10777</v>
      </c>
      <c r="N107" s="66">
        <v>11100</v>
      </c>
      <c r="O107" s="66">
        <v>10600</v>
      </c>
      <c r="P107" s="66">
        <v>10200</v>
      </c>
      <c r="Q107" s="66">
        <v>9900</v>
      </c>
      <c r="R107" s="66">
        <v>9700</v>
      </c>
      <c r="S107" s="66">
        <v>9700</v>
      </c>
      <c r="T107" s="66">
        <v>9700</v>
      </c>
      <c r="U107" s="66">
        <v>9700</v>
      </c>
      <c r="V107" s="66">
        <v>9800</v>
      </c>
      <c r="W107" s="66">
        <v>9900</v>
      </c>
      <c r="X107" s="66">
        <v>10000</v>
      </c>
      <c r="Y107" s="66">
        <v>10200</v>
      </c>
      <c r="Z107" s="66">
        <v>10300</v>
      </c>
      <c r="AA107" s="66">
        <v>10500</v>
      </c>
      <c r="AB107" s="66">
        <v>10700</v>
      </c>
      <c r="AC107" s="66">
        <v>10900</v>
      </c>
      <c r="AD107" s="66">
        <v>11100</v>
      </c>
      <c r="AE107" s="66">
        <v>11300</v>
      </c>
      <c r="AF107" s="66">
        <v>11600</v>
      </c>
      <c r="AG107" s="66">
        <v>11800</v>
      </c>
      <c r="AH107" s="66">
        <v>11900</v>
      </c>
      <c r="AI107" s="66">
        <v>12100</v>
      </c>
      <c r="AJ107" s="66">
        <v>12100</v>
      </c>
      <c r="AK107" s="66">
        <v>12100</v>
      </c>
      <c r="AL107" s="66">
        <v>12100</v>
      </c>
      <c r="AM107" s="66">
        <v>12000</v>
      </c>
      <c r="AN107" s="66">
        <v>11800</v>
      </c>
      <c r="AO107" s="66">
        <v>11700</v>
      </c>
    </row>
    <row r="108" spans="2:41" x14ac:dyDescent="0.25">
      <c r="B108" s="4">
        <v>2</v>
      </c>
      <c r="C108" s="4" t="s">
        <v>78</v>
      </c>
      <c r="D108" s="15">
        <v>12697</v>
      </c>
      <c r="E108" s="15">
        <v>12661</v>
      </c>
      <c r="F108" s="15">
        <v>12650</v>
      </c>
      <c r="G108" s="15">
        <v>12111</v>
      </c>
      <c r="H108" s="15">
        <v>12242</v>
      </c>
      <c r="I108" s="15">
        <v>12286</v>
      </c>
      <c r="J108" s="65">
        <v>12086</v>
      </c>
      <c r="K108" s="15">
        <v>12393</v>
      </c>
      <c r="L108" s="65">
        <v>11028</v>
      </c>
      <c r="M108" s="15">
        <v>11503</v>
      </c>
      <c r="N108" s="66">
        <v>12200</v>
      </c>
      <c r="O108" s="66">
        <v>11800</v>
      </c>
      <c r="P108" s="66">
        <v>11500</v>
      </c>
      <c r="Q108" s="66">
        <v>11300</v>
      </c>
      <c r="R108" s="66">
        <v>11100</v>
      </c>
      <c r="S108" s="66">
        <v>11000</v>
      </c>
      <c r="T108" s="66">
        <v>11000</v>
      </c>
      <c r="U108" s="66">
        <v>11000</v>
      </c>
      <c r="V108" s="66">
        <v>11100</v>
      </c>
      <c r="W108" s="66">
        <v>11300</v>
      </c>
      <c r="X108" s="66">
        <v>11500</v>
      </c>
      <c r="Y108" s="66">
        <v>11600</v>
      </c>
      <c r="Z108" s="66">
        <v>11800</v>
      </c>
      <c r="AA108" s="66">
        <v>12000</v>
      </c>
      <c r="AB108" s="66">
        <v>12200</v>
      </c>
      <c r="AC108" s="66">
        <v>12300</v>
      </c>
      <c r="AD108" s="66">
        <v>12400</v>
      </c>
      <c r="AE108" s="66">
        <v>12500</v>
      </c>
      <c r="AF108" s="66">
        <v>12500</v>
      </c>
      <c r="AG108" s="66">
        <v>12500</v>
      </c>
      <c r="AH108" s="66">
        <v>12400</v>
      </c>
      <c r="AI108" s="66">
        <v>12300</v>
      </c>
      <c r="AJ108" s="66">
        <v>12200</v>
      </c>
      <c r="AK108" s="66">
        <v>12100</v>
      </c>
      <c r="AL108" s="66">
        <v>12000</v>
      </c>
      <c r="AM108" s="66">
        <v>11900</v>
      </c>
      <c r="AN108" s="66">
        <v>11700</v>
      </c>
      <c r="AO108" s="66">
        <v>11600</v>
      </c>
    </row>
    <row r="109" spans="2:41" x14ac:dyDescent="0.25">
      <c r="B109" s="4">
        <v>3</v>
      </c>
      <c r="C109" s="4" t="s">
        <v>79</v>
      </c>
      <c r="D109" s="15">
        <v>18537</v>
      </c>
      <c r="E109" s="15">
        <v>19463</v>
      </c>
      <c r="F109" s="15">
        <v>19793</v>
      </c>
      <c r="G109" s="15">
        <v>19566</v>
      </c>
      <c r="H109" s="15">
        <v>18974</v>
      </c>
      <c r="I109" s="15">
        <v>19433</v>
      </c>
      <c r="J109" s="65">
        <v>20308</v>
      </c>
      <c r="K109" s="15">
        <v>21114</v>
      </c>
      <c r="L109" s="65">
        <v>22045</v>
      </c>
      <c r="M109" s="15">
        <v>19144</v>
      </c>
      <c r="N109" s="66">
        <v>21400</v>
      </c>
      <c r="O109" s="66">
        <v>21000</v>
      </c>
      <c r="P109" s="66">
        <v>20700</v>
      </c>
      <c r="Q109" s="66">
        <v>20500</v>
      </c>
      <c r="R109" s="66">
        <v>20400</v>
      </c>
      <c r="S109" s="66">
        <v>20400</v>
      </c>
      <c r="T109" s="66">
        <v>20600</v>
      </c>
      <c r="U109" s="66">
        <v>20900</v>
      </c>
      <c r="V109" s="66">
        <v>21300</v>
      </c>
      <c r="W109" s="66">
        <v>21800</v>
      </c>
      <c r="X109" s="66">
        <v>22300</v>
      </c>
      <c r="Y109" s="66">
        <v>22900</v>
      </c>
      <c r="Z109" s="66">
        <v>23600</v>
      </c>
      <c r="AA109" s="66">
        <v>24300</v>
      </c>
      <c r="AB109" s="66">
        <v>25100</v>
      </c>
      <c r="AC109" s="66">
        <v>25800</v>
      </c>
      <c r="AD109" s="66">
        <v>26600</v>
      </c>
      <c r="AE109" s="66">
        <v>27400</v>
      </c>
      <c r="AF109" s="66">
        <v>28200</v>
      </c>
      <c r="AG109" s="66">
        <v>28900</v>
      </c>
      <c r="AH109" s="66">
        <v>29600</v>
      </c>
      <c r="AI109" s="66">
        <v>30300</v>
      </c>
      <c r="AJ109" s="66">
        <v>30900</v>
      </c>
      <c r="AK109" s="66">
        <v>31300</v>
      </c>
      <c r="AL109" s="66">
        <v>31700</v>
      </c>
      <c r="AM109" s="66">
        <v>32000</v>
      </c>
      <c r="AN109" s="66">
        <v>32299.999999999996</v>
      </c>
      <c r="AO109" s="66">
        <v>32500</v>
      </c>
    </row>
    <row r="110" spans="2:41" x14ac:dyDescent="0.25">
      <c r="B110" s="4">
        <v>4</v>
      </c>
      <c r="C110" s="4" t="s">
        <v>80</v>
      </c>
      <c r="D110" s="15">
        <v>47991</v>
      </c>
      <c r="E110" s="15">
        <v>49633</v>
      </c>
      <c r="F110" s="15">
        <v>48505</v>
      </c>
      <c r="G110" s="15">
        <v>50454</v>
      </c>
      <c r="H110" s="15">
        <v>49497</v>
      </c>
      <c r="I110" s="15">
        <v>49811</v>
      </c>
      <c r="J110" s="65">
        <v>49893</v>
      </c>
      <c r="K110" s="15">
        <v>53813</v>
      </c>
      <c r="L110" s="65">
        <v>31369</v>
      </c>
      <c r="M110" s="15">
        <v>34672</v>
      </c>
      <c r="N110" s="66">
        <v>37500</v>
      </c>
      <c r="O110" s="66">
        <v>36700</v>
      </c>
      <c r="P110" s="66">
        <v>36300</v>
      </c>
      <c r="Q110" s="66">
        <v>36200</v>
      </c>
      <c r="R110" s="66">
        <v>36400</v>
      </c>
      <c r="S110" s="66">
        <v>36900</v>
      </c>
      <c r="T110" s="66">
        <v>37700</v>
      </c>
      <c r="U110" s="66">
        <v>38600</v>
      </c>
      <c r="V110" s="66">
        <v>39800</v>
      </c>
      <c r="W110" s="66">
        <v>41000</v>
      </c>
      <c r="X110" s="66">
        <v>42400</v>
      </c>
      <c r="Y110" s="66">
        <v>43800</v>
      </c>
      <c r="Z110" s="66">
        <v>45300</v>
      </c>
      <c r="AA110" s="66">
        <v>46800</v>
      </c>
      <c r="AB110" s="66">
        <v>48200</v>
      </c>
      <c r="AC110" s="66">
        <v>49600</v>
      </c>
      <c r="AD110" s="66">
        <v>50800</v>
      </c>
      <c r="AE110" s="66">
        <v>52000</v>
      </c>
      <c r="AF110" s="66">
        <v>53100</v>
      </c>
      <c r="AG110" s="66">
        <v>54300</v>
      </c>
      <c r="AH110" s="66">
        <v>55400</v>
      </c>
      <c r="AI110" s="66">
        <v>56500</v>
      </c>
      <c r="AJ110" s="66">
        <v>57500</v>
      </c>
      <c r="AK110" s="66">
        <v>58500</v>
      </c>
      <c r="AL110" s="66">
        <v>59400</v>
      </c>
      <c r="AM110" s="66">
        <v>60200</v>
      </c>
      <c r="AN110" s="66">
        <v>60900</v>
      </c>
      <c r="AO110" s="66">
        <v>61700</v>
      </c>
    </row>
    <row r="111" spans="2:41" x14ac:dyDescent="0.25">
      <c r="B111" s="4">
        <v>5</v>
      </c>
      <c r="C111" s="4" t="s">
        <v>81</v>
      </c>
      <c r="D111" s="15">
        <v>15935</v>
      </c>
      <c r="E111" s="15">
        <v>16277</v>
      </c>
      <c r="F111" s="15">
        <v>16310</v>
      </c>
      <c r="G111" s="15">
        <v>16615</v>
      </c>
      <c r="H111" s="15">
        <v>16294</v>
      </c>
      <c r="I111" s="15">
        <v>16843</v>
      </c>
      <c r="J111" s="65">
        <v>16763</v>
      </c>
      <c r="K111" s="15">
        <v>17842</v>
      </c>
      <c r="L111" s="65">
        <v>18034</v>
      </c>
      <c r="M111" s="15">
        <v>17007</v>
      </c>
      <c r="N111" s="66">
        <v>18100</v>
      </c>
      <c r="O111" s="66">
        <v>18000</v>
      </c>
      <c r="P111" s="66">
        <v>17900</v>
      </c>
      <c r="Q111" s="66">
        <v>18000</v>
      </c>
      <c r="R111" s="66">
        <v>18200</v>
      </c>
      <c r="S111" s="66">
        <v>18400</v>
      </c>
      <c r="T111" s="66">
        <v>18800</v>
      </c>
      <c r="U111" s="66">
        <v>19200</v>
      </c>
      <c r="V111" s="66">
        <v>19800</v>
      </c>
      <c r="W111" s="66">
        <v>20400</v>
      </c>
      <c r="X111" s="66">
        <v>21000</v>
      </c>
      <c r="Y111" s="66">
        <v>21700</v>
      </c>
      <c r="Z111" s="66">
        <v>22400</v>
      </c>
      <c r="AA111" s="66">
        <v>23200</v>
      </c>
      <c r="AB111" s="66">
        <v>23900</v>
      </c>
      <c r="AC111" s="66">
        <v>24600</v>
      </c>
      <c r="AD111" s="66">
        <v>25300</v>
      </c>
      <c r="AE111" s="66">
        <v>26000</v>
      </c>
      <c r="AF111" s="66">
        <v>26700</v>
      </c>
      <c r="AG111" s="66">
        <v>27300</v>
      </c>
      <c r="AH111" s="66">
        <v>28000</v>
      </c>
      <c r="AI111" s="66">
        <v>28600</v>
      </c>
      <c r="AJ111" s="66">
        <v>29100</v>
      </c>
      <c r="AK111" s="66">
        <v>29700</v>
      </c>
      <c r="AL111" s="66">
        <v>30100</v>
      </c>
      <c r="AM111" s="66">
        <v>30500</v>
      </c>
      <c r="AN111" s="66">
        <v>30900</v>
      </c>
      <c r="AO111" s="66">
        <v>31300</v>
      </c>
    </row>
    <row r="112" spans="2:41" x14ac:dyDescent="0.25">
      <c r="B112" s="4">
        <v>6</v>
      </c>
      <c r="C112" s="4" t="s">
        <v>82</v>
      </c>
      <c r="D112" s="15">
        <v>22536</v>
      </c>
      <c r="E112" s="15">
        <v>23433</v>
      </c>
      <c r="F112" s="15">
        <v>22730</v>
      </c>
      <c r="G112" s="15">
        <v>22580</v>
      </c>
      <c r="H112" s="15">
        <v>22025</v>
      </c>
      <c r="I112" s="64">
        <v>21631</v>
      </c>
      <c r="J112" s="65">
        <v>21584</v>
      </c>
      <c r="K112" s="15">
        <v>22287</v>
      </c>
      <c r="L112" s="65">
        <v>10840</v>
      </c>
      <c r="M112" s="15">
        <v>9409</v>
      </c>
      <c r="N112" s="66">
        <v>10300</v>
      </c>
      <c r="O112" s="66">
        <v>9900</v>
      </c>
      <c r="P112" s="66">
        <v>9600</v>
      </c>
      <c r="Q112" s="66">
        <v>9400</v>
      </c>
      <c r="R112" s="66">
        <v>9200</v>
      </c>
      <c r="S112" s="66">
        <v>9100</v>
      </c>
      <c r="T112" s="66">
        <v>9100</v>
      </c>
      <c r="U112" s="66">
        <v>9200</v>
      </c>
      <c r="V112" s="66">
        <v>9300</v>
      </c>
      <c r="W112" s="66">
        <v>9400</v>
      </c>
      <c r="X112" s="66">
        <v>9600</v>
      </c>
      <c r="Y112" s="66">
        <v>9700</v>
      </c>
      <c r="Z112" s="66">
        <v>9900</v>
      </c>
      <c r="AA112" s="66">
        <v>10100</v>
      </c>
      <c r="AB112" s="66">
        <v>10300</v>
      </c>
      <c r="AC112" s="66">
        <v>10400</v>
      </c>
      <c r="AD112" s="66">
        <v>10600</v>
      </c>
      <c r="AE112" s="66">
        <v>10700</v>
      </c>
      <c r="AF112" s="66">
        <v>10800</v>
      </c>
      <c r="AG112" s="66">
        <v>10900</v>
      </c>
      <c r="AH112" s="66">
        <v>10900</v>
      </c>
      <c r="AI112" s="66">
        <v>10900</v>
      </c>
      <c r="AJ112" s="66">
        <v>10900</v>
      </c>
      <c r="AK112" s="66">
        <v>10800</v>
      </c>
      <c r="AL112" s="66">
        <v>10700</v>
      </c>
      <c r="AM112" s="66">
        <v>10600</v>
      </c>
      <c r="AN112" s="66">
        <v>10400</v>
      </c>
      <c r="AO112" s="66">
        <v>10300</v>
      </c>
    </row>
    <row r="113" spans="2:41" x14ac:dyDescent="0.25">
      <c r="B113" s="4">
        <v>7</v>
      </c>
      <c r="C113" s="4" t="s">
        <v>83</v>
      </c>
      <c r="D113" s="15">
        <v>28562</v>
      </c>
      <c r="E113" s="15">
        <v>29271</v>
      </c>
      <c r="F113" s="15">
        <v>28171</v>
      </c>
      <c r="G113" s="15">
        <v>27780</v>
      </c>
      <c r="H113" s="15">
        <v>25980</v>
      </c>
      <c r="I113" s="65">
        <v>26757</v>
      </c>
      <c r="J113" s="121">
        <v>26704</v>
      </c>
      <c r="K113" s="15">
        <v>28941</v>
      </c>
      <c r="L113" s="65">
        <v>29125</v>
      </c>
      <c r="M113" s="15">
        <v>26528</v>
      </c>
      <c r="N113" s="66">
        <v>30300</v>
      </c>
      <c r="O113" s="66">
        <v>30400</v>
      </c>
      <c r="P113" s="66">
        <v>30800</v>
      </c>
      <c r="Q113" s="66">
        <v>31500</v>
      </c>
      <c r="R113" s="66">
        <v>32400</v>
      </c>
      <c r="S113" s="66">
        <v>33600</v>
      </c>
      <c r="T113" s="66">
        <v>34900</v>
      </c>
      <c r="U113" s="66">
        <v>36200</v>
      </c>
      <c r="V113" s="66">
        <v>37700</v>
      </c>
      <c r="W113" s="66">
        <v>39100</v>
      </c>
      <c r="X113" s="66">
        <v>40500</v>
      </c>
      <c r="Y113" s="66">
        <v>41900</v>
      </c>
      <c r="Z113" s="66">
        <v>43200</v>
      </c>
      <c r="AA113" s="66">
        <v>44500</v>
      </c>
      <c r="AB113" s="66">
        <v>45600</v>
      </c>
      <c r="AC113" s="66">
        <v>46700</v>
      </c>
      <c r="AD113" s="66">
        <v>47800</v>
      </c>
      <c r="AE113" s="66">
        <v>48800</v>
      </c>
      <c r="AF113" s="66">
        <v>49900</v>
      </c>
      <c r="AG113" s="66">
        <v>50900</v>
      </c>
      <c r="AH113" s="66">
        <v>52000</v>
      </c>
      <c r="AI113" s="66">
        <v>53000</v>
      </c>
      <c r="AJ113" s="66">
        <v>54000</v>
      </c>
      <c r="AK113" s="66">
        <v>55000</v>
      </c>
      <c r="AL113" s="66">
        <v>55900</v>
      </c>
      <c r="AM113" s="66">
        <v>56900</v>
      </c>
      <c r="AN113" s="66">
        <v>57900</v>
      </c>
      <c r="AO113" s="66">
        <v>59100</v>
      </c>
    </row>
    <row r="114" spans="2:41" x14ac:dyDescent="0.25">
      <c r="B114" s="4">
        <v>8</v>
      </c>
      <c r="C114" s="4" t="s">
        <v>84</v>
      </c>
      <c r="D114" s="15"/>
      <c r="E114" s="15"/>
      <c r="F114" s="15"/>
      <c r="G114" s="15"/>
      <c r="H114" s="15"/>
      <c r="I114" s="15"/>
      <c r="J114" s="15"/>
      <c r="K114" s="15"/>
      <c r="L114" s="15">
        <v>15563</v>
      </c>
      <c r="M114" s="15">
        <v>14010</v>
      </c>
      <c r="N114" s="66">
        <v>15800</v>
      </c>
      <c r="O114" s="66">
        <v>15600</v>
      </c>
      <c r="P114" s="66">
        <v>15500</v>
      </c>
      <c r="Q114" s="66">
        <v>15600</v>
      </c>
      <c r="R114" s="66">
        <v>15900</v>
      </c>
      <c r="S114" s="66">
        <v>16300</v>
      </c>
      <c r="T114" s="66">
        <v>16900</v>
      </c>
      <c r="U114" s="66">
        <v>17500</v>
      </c>
      <c r="V114" s="66">
        <v>18100</v>
      </c>
      <c r="W114" s="66">
        <v>18900</v>
      </c>
      <c r="X114" s="66">
        <v>19600</v>
      </c>
      <c r="Y114" s="66">
        <v>20300</v>
      </c>
      <c r="Z114" s="66">
        <v>21000</v>
      </c>
      <c r="AA114" s="66">
        <v>21700</v>
      </c>
      <c r="AB114" s="66">
        <v>22300</v>
      </c>
      <c r="AC114" s="66">
        <v>23000</v>
      </c>
      <c r="AD114" s="66">
        <v>23600</v>
      </c>
      <c r="AE114" s="66">
        <v>24200</v>
      </c>
      <c r="AF114" s="66">
        <v>24800</v>
      </c>
      <c r="AG114" s="66">
        <v>25300</v>
      </c>
      <c r="AH114" s="66">
        <v>25900</v>
      </c>
      <c r="AI114" s="66">
        <v>26400</v>
      </c>
      <c r="AJ114" s="66">
        <v>26900</v>
      </c>
      <c r="AK114" s="66">
        <v>27300</v>
      </c>
      <c r="AL114" s="66">
        <v>27700</v>
      </c>
      <c r="AM114" s="66">
        <v>28000</v>
      </c>
      <c r="AN114" s="66">
        <v>28400</v>
      </c>
      <c r="AO114" s="66">
        <v>28700</v>
      </c>
    </row>
    <row r="115" spans="2:41" x14ac:dyDescent="0.25">
      <c r="B115" s="4">
        <v>9</v>
      </c>
      <c r="C115" s="4" t="s">
        <v>85</v>
      </c>
      <c r="D115" s="15">
        <v>12656</v>
      </c>
      <c r="E115" s="15">
        <v>12916</v>
      </c>
      <c r="F115" s="15">
        <v>12888</v>
      </c>
      <c r="G115" s="15">
        <v>13096</v>
      </c>
      <c r="H115" s="15">
        <v>12793</v>
      </c>
      <c r="I115" s="64">
        <v>13033</v>
      </c>
      <c r="J115" s="122">
        <v>13045</v>
      </c>
      <c r="K115" s="15">
        <v>13546</v>
      </c>
      <c r="L115" s="65">
        <v>14094</v>
      </c>
      <c r="M115" s="15">
        <v>12455</v>
      </c>
      <c r="N115" s="66">
        <v>13600</v>
      </c>
      <c r="O115" s="66">
        <v>13300</v>
      </c>
      <c r="P115" s="66">
        <v>13000</v>
      </c>
      <c r="Q115" s="66">
        <v>12700</v>
      </c>
      <c r="R115" s="66">
        <v>12600</v>
      </c>
      <c r="S115" s="66">
        <v>12500</v>
      </c>
      <c r="T115" s="66">
        <v>12500</v>
      </c>
      <c r="U115" s="66">
        <v>12600</v>
      </c>
      <c r="V115" s="66">
        <v>12800</v>
      </c>
      <c r="W115" s="66">
        <v>13000</v>
      </c>
      <c r="X115" s="66">
        <v>13200</v>
      </c>
      <c r="Y115" s="66">
        <v>13500</v>
      </c>
      <c r="Z115" s="66">
        <v>13800</v>
      </c>
      <c r="AA115" s="66">
        <v>14100</v>
      </c>
      <c r="AB115" s="66">
        <v>14500</v>
      </c>
      <c r="AC115" s="66">
        <v>14900</v>
      </c>
      <c r="AD115" s="66">
        <v>15200</v>
      </c>
      <c r="AE115" s="66">
        <v>15600</v>
      </c>
      <c r="AF115" s="66">
        <v>16000</v>
      </c>
      <c r="AG115" s="66">
        <v>16400</v>
      </c>
      <c r="AH115" s="66">
        <v>16700</v>
      </c>
      <c r="AI115" s="66">
        <v>17100</v>
      </c>
      <c r="AJ115" s="66">
        <v>17300</v>
      </c>
      <c r="AK115" s="66">
        <v>17600</v>
      </c>
      <c r="AL115" s="66">
        <v>17700</v>
      </c>
      <c r="AM115" s="66">
        <v>17800</v>
      </c>
      <c r="AN115" s="66">
        <v>17900</v>
      </c>
      <c r="AO115" s="66">
        <v>17900</v>
      </c>
    </row>
    <row r="116" spans="2:41" x14ac:dyDescent="0.25">
      <c r="B116" s="4">
        <v>10</v>
      </c>
      <c r="C116" s="4" t="s">
        <v>86</v>
      </c>
      <c r="D116" s="15">
        <v>24462</v>
      </c>
      <c r="E116" s="15">
        <v>24677</v>
      </c>
      <c r="F116" s="15">
        <v>24308</v>
      </c>
      <c r="G116" s="15">
        <v>23629</v>
      </c>
      <c r="H116" s="15">
        <v>22439</v>
      </c>
      <c r="I116" s="65">
        <v>22629</v>
      </c>
      <c r="J116" s="65">
        <v>22797</v>
      </c>
      <c r="K116" s="15">
        <v>23237</v>
      </c>
      <c r="L116" s="65">
        <v>19058</v>
      </c>
      <c r="M116" s="15">
        <v>16661</v>
      </c>
      <c r="N116" s="66">
        <v>18300</v>
      </c>
      <c r="O116" s="66">
        <v>17800</v>
      </c>
      <c r="P116" s="66">
        <v>17400</v>
      </c>
      <c r="Q116" s="66">
        <v>17100</v>
      </c>
      <c r="R116" s="66">
        <v>16900</v>
      </c>
      <c r="S116" s="66">
        <v>16800</v>
      </c>
      <c r="T116" s="66">
        <v>16700</v>
      </c>
      <c r="U116" s="66">
        <v>16800</v>
      </c>
      <c r="V116" s="66">
        <v>16900</v>
      </c>
      <c r="W116" s="66">
        <v>17100</v>
      </c>
      <c r="X116" s="66">
        <v>17300</v>
      </c>
      <c r="Y116" s="66">
        <v>17600</v>
      </c>
      <c r="Z116" s="66">
        <v>17800</v>
      </c>
      <c r="AA116" s="66">
        <v>18100</v>
      </c>
      <c r="AB116" s="66">
        <v>18300</v>
      </c>
      <c r="AC116" s="66">
        <v>18500</v>
      </c>
      <c r="AD116" s="66">
        <v>18700</v>
      </c>
      <c r="AE116" s="66">
        <v>18800</v>
      </c>
      <c r="AF116" s="66">
        <v>19000</v>
      </c>
      <c r="AG116" s="66">
        <v>19000</v>
      </c>
      <c r="AH116" s="66">
        <v>19100</v>
      </c>
      <c r="AI116" s="66">
        <v>19100</v>
      </c>
      <c r="AJ116" s="66">
        <v>19100</v>
      </c>
      <c r="AK116" s="66">
        <v>19000</v>
      </c>
      <c r="AL116" s="66">
        <v>18900</v>
      </c>
      <c r="AM116" s="66">
        <v>18800</v>
      </c>
      <c r="AN116" s="66">
        <v>18600</v>
      </c>
      <c r="AO116" s="66">
        <v>18400</v>
      </c>
    </row>
    <row r="117" spans="2:41" x14ac:dyDescent="0.25">
      <c r="B117" s="4">
        <v>11</v>
      </c>
      <c r="C117" s="4" t="s">
        <v>87</v>
      </c>
      <c r="D117" s="15">
        <v>12879</v>
      </c>
      <c r="E117" s="15">
        <v>12648</v>
      </c>
      <c r="F117" s="15">
        <v>12665</v>
      </c>
      <c r="G117" s="15">
        <v>12153</v>
      </c>
      <c r="H117" s="15">
        <v>11617</v>
      </c>
      <c r="I117" s="65">
        <v>11549</v>
      </c>
      <c r="J117" s="65">
        <v>11326</v>
      </c>
      <c r="K117" s="15">
        <v>11559</v>
      </c>
      <c r="L117" s="65">
        <v>11099</v>
      </c>
      <c r="M117" s="15">
        <v>10247</v>
      </c>
      <c r="N117" s="66">
        <v>11100</v>
      </c>
      <c r="O117" s="66">
        <v>10800</v>
      </c>
      <c r="P117" s="66">
        <v>10500</v>
      </c>
      <c r="Q117" s="66">
        <v>10300</v>
      </c>
      <c r="R117" s="66">
        <v>10100</v>
      </c>
      <c r="S117" s="66">
        <v>10000</v>
      </c>
      <c r="T117" s="66">
        <v>9900</v>
      </c>
      <c r="U117" s="66">
        <v>9800</v>
      </c>
      <c r="V117" s="66">
        <v>9800</v>
      </c>
      <c r="W117" s="66">
        <v>9900</v>
      </c>
      <c r="X117" s="66">
        <v>9900</v>
      </c>
      <c r="Y117" s="66">
        <v>10000</v>
      </c>
      <c r="Z117" s="66">
        <v>10000</v>
      </c>
      <c r="AA117" s="66">
        <v>10100</v>
      </c>
      <c r="AB117" s="66">
        <v>10200</v>
      </c>
      <c r="AC117" s="66">
        <v>10200</v>
      </c>
      <c r="AD117" s="66">
        <v>10200</v>
      </c>
      <c r="AE117" s="66">
        <v>10200</v>
      </c>
      <c r="AF117" s="66">
        <v>10200</v>
      </c>
      <c r="AG117" s="66">
        <v>10100</v>
      </c>
      <c r="AH117" s="66">
        <v>10100</v>
      </c>
      <c r="AI117" s="66">
        <v>10000</v>
      </c>
      <c r="AJ117" s="66">
        <v>9900</v>
      </c>
      <c r="AK117" s="66">
        <v>9800</v>
      </c>
      <c r="AL117" s="66">
        <v>9600</v>
      </c>
      <c r="AM117" s="66">
        <v>9500</v>
      </c>
      <c r="AN117" s="66">
        <v>9300</v>
      </c>
      <c r="AO117" s="66">
        <v>9200</v>
      </c>
    </row>
    <row r="118" spans="2:41" x14ac:dyDescent="0.25">
      <c r="B118" s="4">
        <v>12</v>
      </c>
      <c r="C118" s="4" t="s">
        <v>88</v>
      </c>
      <c r="D118" s="15">
        <v>19424</v>
      </c>
      <c r="E118" s="15">
        <v>20120</v>
      </c>
      <c r="F118" s="15">
        <v>19506</v>
      </c>
      <c r="G118" s="15">
        <v>19137</v>
      </c>
      <c r="H118" s="15">
        <v>18935</v>
      </c>
      <c r="I118" s="65">
        <v>19076</v>
      </c>
      <c r="J118" s="65">
        <v>19182</v>
      </c>
      <c r="K118" s="15">
        <v>21565</v>
      </c>
      <c r="L118" s="65">
        <v>23132</v>
      </c>
      <c r="M118" s="15">
        <v>20609</v>
      </c>
      <c r="N118" s="66">
        <v>23000</v>
      </c>
      <c r="O118" s="66">
        <v>22700</v>
      </c>
      <c r="P118" s="66">
        <v>22600</v>
      </c>
      <c r="Q118" s="66">
        <v>22500</v>
      </c>
      <c r="R118" s="66">
        <v>22700</v>
      </c>
      <c r="S118" s="66">
        <v>23000</v>
      </c>
      <c r="T118" s="66">
        <v>23500</v>
      </c>
      <c r="U118" s="66">
        <v>24100</v>
      </c>
      <c r="V118" s="66">
        <v>24800</v>
      </c>
      <c r="W118" s="66">
        <v>25500</v>
      </c>
      <c r="X118" s="66">
        <v>26300</v>
      </c>
      <c r="Y118" s="66">
        <v>27100</v>
      </c>
      <c r="Z118" s="66">
        <v>27900</v>
      </c>
      <c r="AA118" s="66">
        <v>28600</v>
      </c>
      <c r="AB118" s="66">
        <v>29300</v>
      </c>
      <c r="AC118" s="66">
        <v>30000</v>
      </c>
      <c r="AD118" s="66">
        <v>30800</v>
      </c>
      <c r="AE118" s="66">
        <v>31600</v>
      </c>
      <c r="AF118" s="66">
        <v>32400</v>
      </c>
      <c r="AG118" s="66">
        <v>33300</v>
      </c>
      <c r="AH118" s="66">
        <v>34200</v>
      </c>
      <c r="AI118" s="66">
        <v>35100</v>
      </c>
      <c r="AJ118" s="66">
        <v>35900</v>
      </c>
      <c r="AK118" s="66">
        <v>36700</v>
      </c>
      <c r="AL118" s="66">
        <v>37400</v>
      </c>
      <c r="AM118" s="66">
        <v>38000</v>
      </c>
      <c r="AN118" s="66">
        <v>38600</v>
      </c>
      <c r="AO118" s="66">
        <v>39200</v>
      </c>
    </row>
    <row r="119" spans="2:41" x14ac:dyDescent="0.25">
      <c r="B119" s="4">
        <v>13</v>
      </c>
      <c r="C119" s="4" t="s">
        <v>89</v>
      </c>
      <c r="D119" s="15">
        <v>18239</v>
      </c>
      <c r="E119" s="15">
        <v>19002</v>
      </c>
      <c r="F119" s="15">
        <v>19209</v>
      </c>
      <c r="G119" s="15">
        <v>19599</v>
      </c>
      <c r="H119" s="15">
        <v>19247</v>
      </c>
      <c r="I119" s="65">
        <v>19706</v>
      </c>
      <c r="J119" s="65">
        <v>20246</v>
      </c>
      <c r="K119" s="15">
        <v>21581</v>
      </c>
      <c r="L119" s="65">
        <v>23017</v>
      </c>
      <c r="M119" s="15">
        <v>21419</v>
      </c>
      <c r="N119" s="66">
        <v>23300</v>
      </c>
      <c r="O119" s="66">
        <v>23400</v>
      </c>
      <c r="P119" s="66">
        <v>23600</v>
      </c>
      <c r="Q119" s="66">
        <v>23900</v>
      </c>
      <c r="R119" s="66">
        <v>24400</v>
      </c>
      <c r="S119" s="66">
        <v>25000</v>
      </c>
      <c r="T119" s="66">
        <v>25700</v>
      </c>
      <c r="U119" s="66">
        <v>26500</v>
      </c>
      <c r="V119" s="66">
        <v>27400</v>
      </c>
      <c r="W119" s="66">
        <v>28400</v>
      </c>
      <c r="X119" s="66">
        <v>29600</v>
      </c>
      <c r="Y119" s="66">
        <v>30800</v>
      </c>
      <c r="Z119" s="66">
        <v>32100</v>
      </c>
      <c r="AA119" s="66">
        <v>33300</v>
      </c>
      <c r="AB119" s="66">
        <v>34600</v>
      </c>
      <c r="AC119" s="66">
        <v>35900</v>
      </c>
      <c r="AD119" s="66">
        <v>37200</v>
      </c>
      <c r="AE119" s="66">
        <v>38500</v>
      </c>
      <c r="AF119" s="66">
        <v>39900</v>
      </c>
      <c r="AG119" s="66">
        <v>41300</v>
      </c>
      <c r="AH119" s="66">
        <v>42700</v>
      </c>
      <c r="AI119" s="66">
        <v>44000</v>
      </c>
      <c r="AJ119" s="66">
        <v>45300</v>
      </c>
      <c r="AK119" s="66">
        <v>46500</v>
      </c>
      <c r="AL119" s="66">
        <v>47700</v>
      </c>
      <c r="AM119" s="66">
        <v>48800</v>
      </c>
      <c r="AN119" s="66">
        <v>49900</v>
      </c>
      <c r="AO119" s="66">
        <v>51000</v>
      </c>
    </row>
    <row r="120" spans="2:41" x14ac:dyDescent="0.25">
      <c r="B120" s="4">
        <v>14</v>
      </c>
      <c r="C120" s="4" t="s">
        <v>90</v>
      </c>
      <c r="D120" s="15">
        <v>6206</v>
      </c>
      <c r="E120" s="15">
        <v>6299</v>
      </c>
      <c r="F120" s="15">
        <v>6222</v>
      </c>
      <c r="G120" s="15">
        <v>6010</v>
      </c>
      <c r="H120" s="15">
        <v>5720</v>
      </c>
      <c r="I120" s="65">
        <v>5769</v>
      </c>
      <c r="J120" s="65">
        <v>5506</v>
      </c>
      <c r="K120" s="15">
        <v>5742</v>
      </c>
      <c r="L120" s="65">
        <v>5562</v>
      </c>
      <c r="M120" s="15">
        <v>5109</v>
      </c>
      <c r="N120" s="66">
        <v>11200</v>
      </c>
      <c r="O120" s="66">
        <v>10800</v>
      </c>
      <c r="P120" s="66">
        <v>10500</v>
      </c>
      <c r="Q120" s="66">
        <v>10400</v>
      </c>
      <c r="R120" s="66">
        <v>10200</v>
      </c>
      <c r="S120" s="66">
        <v>10200</v>
      </c>
      <c r="T120" s="66">
        <v>10200</v>
      </c>
      <c r="U120" s="66">
        <v>10200</v>
      </c>
      <c r="V120" s="66">
        <v>10400</v>
      </c>
      <c r="W120" s="66">
        <v>10500</v>
      </c>
      <c r="X120" s="66">
        <v>10700</v>
      </c>
      <c r="Y120" s="66">
        <v>10900</v>
      </c>
      <c r="Z120" s="66">
        <v>11100</v>
      </c>
      <c r="AA120" s="66">
        <v>11300</v>
      </c>
      <c r="AB120" s="66">
        <v>11500</v>
      </c>
      <c r="AC120" s="66">
        <v>11600</v>
      </c>
      <c r="AD120" s="66">
        <v>11800</v>
      </c>
      <c r="AE120" s="66">
        <v>11900</v>
      </c>
      <c r="AF120" s="66">
        <v>12000</v>
      </c>
      <c r="AG120" s="66">
        <v>12100</v>
      </c>
      <c r="AH120" s="66">
        <v>12100</v>
      </c>
      <c r="AI120" s="66">
        <v>12100</v>
      </c>
      <c r="AJ120" s="66">
        <v>12000</v>
      </c>
      <c r="AK120" s="66">
        <v>11900</v>
      </c>
      <c r="AL120" s="66">
        <v>11800</v>
      </c>
      <c r="AM120" s="66">
        <v>11700</v>
      </c>
      <c r="AN120" s="66">
        <v>11600</v>
      </c>
      <c r="AO120" s="66">
        <v>11400</v>
      </c>
    </row>
    <row r="121" spans="2:41" x14ac:dyDescent="0.25">
      <c r="B121" s="4">
        <v>15</v>
      </c>
      <c r="C121" s="4" t="s">
        <v>91</v>
      </c>
      <c r="D121" s="15">
        <v>8471</v>
      </c>
      <c r="E121" s="15">
        <v>8136</v>
      </c>
      <c r="F121" s="15">
        <v>8087</v>
      </c>
      <c r="G121" s="15">
        <v>7633</v>
      </c>
      <c r="H121" s="15">
        <v>7317</v>
      </c>
      <c r="I121" s="65">
        <v>7086</v>
      </c>
      <c r="J121" s="65">
        <v>6816</v>
      </c>
      <c r="K121" s="15">
        <v>6820</v>
      </c>
      <c r="L121" s="65">
        <v>6196</v>
      </c>
      <c r="M121" s="15">
        <v>5812</v>
      </c>
      <c r="N121" s="66">
        <v>6500</v>
      </c>
      <c r="O121" s="66">
        <v>6300</v>
      </c>
      <c r="P121" s="66">
        <v>6100</v>
      </c>
      <c r="Q121" s="66">
        <v>6000</v>
      </c>
      <c r="R121" s="66">
        <v>5900</v>
      </c>
      <c r="S121" s="66">
        <v>5800</v>
      </c>
      <c r="T121" s="66">
        <v>5800</v>
      </c>
      <c r="U121" s="66">
        <v>5800</v>
      </c>
      <c r="V121" s="66">
        <v>5800</v>
      </c>
      <c r="W121" s="66">
        <v>5900</v>
      </c>
      <c r="X121" s="66">
        <v>5900</v>
      </c>
      <c r="Y121" s="66">
        <v>6000</v>
      </c>
      <c r="Z121" s="66">
        <v>6000</v>
      </c>
      <c r="AA121" s="66">
        <v>6100</v>
      </c>
      <c r="AB121" s="66">
        <v>6100</v>
      </c>
      <c r="AC121" s="66">
        <v>6100</v>
      </c>
      <c r="AD121" s="66">
        <v>6000</v>
      </c>
      <c r="AE121" s="66">
        <v>6000</v>
      </c>
      <c r="AF121" s="66">
        <v>5900</v>
      </c>
      <c r="AG121" s="66">
        <v>5800</v>
      </c>
      <c r="AH121" s="66">
        <v>5700</v>
      </c>
      <c r="AI121" s="66">
        <v>5600</v>
      </c>
      <c r="AJ121" s="66">
        <v>5500</v>
      </c>
      <c r="AK121" s="66">
        <v>5400</v>
      </c>
      <c r="AL121" s="66">
        <v>5200</v>
      </c>
      <c r="AM121" s="66">
        <v>5100</v>
      </c>
      <c r="AN121" s="66">
        <v>5000</v>
      </c>
      <c r="AO121" s="66">
        <v>4800</v>
      </c>
    </row>
    <row r="122" spans="2:41" x14ac:dyDescent="0.25">
      <c r="B122" s="4">
        <v>16</v>
      </c>
      <c r="C122" s="4" t="s">
        <v>92</v>
      </c>
      <c r="D122" s="15">
        <v>79115</v>
      </c>
      <c r="E122" s="15">
        <v>81167</v>
      </c>
      <c r="F122" s="15">
        <v>80860</v>
      </c>
      <c r="G122" s="15">
        <v>55259</v>
      </c>
      <c r="H122" s="15">
        <v>52498</v>
      </c>
      <c r="I122" s="65">
        <v>53592</v>
      </c>
      <c r="J122" s="65">
        <v>55310</v>
      </c>
      <c r="K122" s="15">
        <v>60749</v>
      </c>
      <c r="L122" s="65">
        <v>54395</v>
      </c>
      <c r="M122" s="15">
        <v>57827</v>
      </c>
      <c r="N122" s="66">
        <v>64400.000000000007</v>
      </c>
      <c r="O122" s="66">
        <v>64500</v>
      </c>
      <c r="P122" s="66">
        <v>65200</v>
      </c>
      <c r="Q122" s="66">
        <v>66500</v>
      </c>
      <c r="R122" s="66">
        <v>68300</v>
      </c>
      <c r="S122" s="66">
        <v>70600</v>
      </c>
      <c r="T122" s="66">
        <v>73200</v>
      </c>
      <c r="U122" s="66">
        <v>75900</v>
      </c>
      <c r="V122" s="66">
        <v>78700</v>
      </c>
      <c r="W122" s="66">
        <v>81500</v>
      </c>
      <c r="X122" s="66">
        <v>84200</v>
      </c>
      <c r="Y122" s="66">
        <v>86800</v>
      </c>
      <c r="Z122" s="66">
        <v>89100</v>
      </c>
      <c r="AA122" s="66">
        <v>91300</v>
      </c>
      <c r="AB122" s="66">
        <v>93200</v>
      </c>
      <c r="AC122" s="66">
        <v>94900</v>
      </c>
      <c r="AD122" s="66">
        <v>96300</v>
      </c>
      <c r="AE122" s="66">
        <v>97700</v>
      </c>
      <c r="AF122" s="66">
        <v>99200</v>
      </c>
      <c r="AG122" s="66">
        <v>101000</v>
      </c>
      <c r="AH122" s="66">
        <v>103000</v>
      </c>
      <c r="AI122" s="66">
        <v>105200</v>
      </c>
      <c r="AJ122" s="66">
        <v>107400</v>
      </c>
      <c r="AK122" s="66">
        <v>109700</v>
      </c>
      <c r="AL122" s="66">
        <v>112000</v>
      </c>
      <c r="AM122" s="66">
        <v>114400</v>
      </c>
      <c r="AN122" s="66">
        <v>117100</v>
      </c>
      <c r="AO122" s="66">
        <v>120000</v>
      </c>
    </row>
    <row r="123" spans="2:41" x14ac:dyDescent="0.25">
      <c r="B123" s="4">
        <v>17</v>
      </c>
      <c r="C123" s="4" t="s">
        <v>93</v>
      </c>
      <c r="D123" s="15"/>
      <c r="E123" s="15"/>
      <c r="F123" s="15"/>
      <c r="G123" s="15"/>
      <c r="H123" s="15"/>
      <c r="I123" s="15"/>
      <c r="J123" s="15"/>
      <c r="K123" s="15"/>
      <c r="L123" s="15">
        <v>4630</v>
      </c>
      <c r="M123" s="15">
        <v>4543</v>
      </c>
      <c r="N123" s="66">
        <v>4600</v>
      </c>
      <c r="O123" s="66">
        <v>4500</v>
      </c>
      <c r="P123" s="66">
        <v>4400</v>
      </c>
      <c r="Q123" s="66">
        <v>4400</v>
      </c>
      <c r="R123" s="66">
        <v>4300</v>
      </c>
      <c r="S123" s="66">
        <v>4300</v>
      </c>
      <c r="T123" s="66">
        <v>4400</v>
      </c>
      <c r="U123" s="66">
        <v>4400</v>
      </c>
      <c r="V123" s="66">
        <v>4500</v>
      </c>
      <c r="W123" s="66">
        <v>4600</v>
      </c>
      <c r="X123" s="66">
        <v>4700</v>
      </c>
      <c r="Y123" s="66">
        <v>4800</v>
      </c>
      <c r="Z123" s="66">
        <v>4900</v>
      </c>
      <c r="AA123" s="66">
        <v>5000</v>
      </c>
      <c r="AB123" s="66">
        <v>5100</v>
      </c>
      <c r="AC123" s="66">
        <v>5200</v>
      </c>
      <c r="AD123" s="66">
        <v>5200</v>
      </c>
      <c r="AE123" s="66">
        <v>5300</v>
      </c>
      <c r="AF123" s="66">
        <v>5400</v>
      </c>
      <c r="AG123" s="66">
        <v>5500</v>
      </c>
      <c r="AH123" s="66">
        <v>5500</v>
      </c>
      <c r="AI123" s="66">
        <v>5600</v>
      </c>
      <c r="AJ123" s="66">
        <v>5600</v>
      </c>
      <c r="AK123" s="66">
        <v>5700</v>
      </c>
      <c r="AL123" s="66">
        <v>5700</v>
      </c>
      <c r="AM123" s="66">
        <v>5700</v>
      </c>
      <c r="AN123" s="66">
        <v>5600</v>
      </c>
      <c r="AO123" s="66">
        <v>5600</v>
      </c>
    </row>
    <row r="124" spans="2:41" x14ac:dyDescent="0.25">
      <c r="B124" s="4">
        <v>18</v>
      </c>
      <c r="C124" s="4" t="s">
        <v>94</v>
      </c>
      <c r="D124" s="15">
        <v>27058</v>
      </c>
      <c r="E124" s="15">
        <v>29468</v>
      </c>
      <c r="F124" s="15">
        <v>31060</v>
      </c>
      <c r="G124" s="15">
        <v>31538</v>
      </c>
      <c r="H124" s="15">
        <v>31456</v>
      </c>
      <c r="I124" s="64">
        <v>33116</v>
      </c>
      <c r="J124" s="65">
        <v>34194</v>
      </c>
      <c r="K124" s="15">
        <v>35326</v>
      </c>
      <c r="L124" s="65">
        <v>48428</v>
      </c>
      <c r="M124" s="15">
        <v>35949</v>
      </c>
      <c r="N124" s="66">
        <v>39400</v>
      </c>
      <c r="O124" s="66">
        <v>40400</v>
      </c>
      <c r="P124" s="66">
        <v>41400</v>
      </c>
      <c r="Q124" s="66">
        <v>42400</v>
      </c>
      <c r="R124" s="66">
        <v>43300</v>
      </c>
      <c r="S124" s="66">
        <v>44100</v>
      </c>
      <c r="T124" s="66">
        <v>44900</v>
      </c>
      <c r="U124" s="66">
        <v>45700</v>
      </c>
      <c r="V124" s="66">
        <v>46600</v>
      </c>
      <c r="W124" s="66">
        <v>47500</v>
      </c>
      <c r="X124" s="66">
        <v>48500</v>
      </c>
      <c r="Y124" s="66">
        <v>49600</v>
      </c>
      <c r="Z124" s="66">
        <v>50700</v>
      </c>
      <c r="AA124" s="66">
        <v>51800</v>
      </c>
      <c r="AB124" s="66">
        <v>53100</v>
      </c>
      <c r="AC124" s="66">
        <v>54400</v>
      </c>
      <c r="AD124" s="66">
        <v>55800</v>
      </c>
      <c r="AE124" s="66">
        <v>57200</v>
      </c>
      <c r="AF124" s="66">
        <v>58600</v>
      </c>
      <c r="AG124" s="66">
        <v>60100</v>
      </c>
      <c r="AH124" s="66">
        <v>61600</v>
      </c>
      <c r="AI124" s="66">
        <v>63000</v>
      </c>
      <c r="AJ124" s="66">
        <v>64400.000000000007</v>
      </c>
      <c r="AK124" s="66">
        <v>65600</v>
      </c>
      <c r="AL124" s="66">
        <v>66700</v>
      </c>
      <c r="AM124" s="66">
        <v>67700</v>
      </c>
      <c r="AN124" s="66">
        <v>68600</v>
      </c>
      <c r="AO124" s="66">
        <v>69600</v>
      </c>
    </row>
    <row r="125" spans="2:41" x14ac:dyDescent="0.25">
      <c r="B125" s="4">
        <v>19</v>
      </c>
      <c r="C125" s="4" t="s">
        <v>95</v>
      </c>
      <c r="D125" s="15">
        <v>21806</v>
      </c>
      <c r="E125" s="15">
        <v>24199</v>
      </c>
      <c r="F125" s="15">
        <v>25840</v>
      </c>
      <c r="G125" s="15">
        <v>28868</v>
      </c>
      <c r="H125" s="15">
        <v>28318</v>
      </c>
      <c r="I125" s="64">
        <v>29124</v>
      </c>
      <c r="J125" s="65">
        <v>28744</v>
      </c>
      <c r="K125" s="15">
        <v>29451</v>
      </c>
      <c r="L125" s="65">
        <v>33675</v>
      </c>
      <c r="M125" s="15">
        <v>30161</v>
      </c>
      <c r="N125" s="66">
        <v>32200.000000000004</v>
      </c>
      <c r="O125" s="66">
        <v>32800</v>
      </c>
      <c r="P125" s="66">
        <v>33300</v>
      </c>
      <c r="Q125" s="66">
        <v>33800</v>
      </c>
      <c r="R125" s="66">
        <v>34300</v>
      </c>
      <c r="S125" s="66">
        <v>34900</v>
      </c>
      <c r="T125" s="66">
        <v>35600</v>
      </c>
      <c r="U125" s="66">
        <v>36300</v>
      </c>
      <c r="V125" s="66">
        <v>37100</v>
      </c>
      <c r="W125" s="66">
        <v>38000</v>
      </c>
      <c r="X125" s="66">
        <v>39000</v>
      </c>
      <c r="Y125" s="66">
        <v>40000</v>
      </c>
      <c r="Z125" s="66">
        <v>41000</v>
      </c>
      <c r="AA125" s="66">
        <v>42100</v>
      </c>
      <c r="AB125" s="66">
        <v>43300</v>
      </c>
      <c r="AC125" s="66">
        <v>44400</v>
      </c>
      <c r="AD125" s="66">
        <v>45600</v>
      </c>
      <c r="AE125" s="66">
        <v>46800</v>
      </c>
      <c r="AF125" s="66">
        <v>48000</v>
      </c>
      <c r="AG125" s="66">
        <v>49300</v>
      </c>
      <c r="AH125" s="66">
        <v>50400</v>
      </c>
      <c r="AI125" s="66">
        <v>51600</v>
      </c>
      <c r="AJ125" s="66">
        <v>52700</v>
      </c>
      <c r="AK125" s="66">
        <v>53800</v>
      </c>
      <c r="AL125" s="66">
        <v>54800</v>
      </c>
      <c r="AM125" s="66">
        <v>55800</v>
      </c>
      <c r="AN125" s="66">
        <v>56700</v>
      </c>
      <c r="AO125" s="66">
        <v>57500</v>
      </c>
    </row>
    <row r="126" spans="2:41" x14ac:dyDescent="0.25">
      <c r="B126" s="4">
        <v>20</v>
      </c>
      <c r="C126" s="4" t="s">
        <v>96</v>
      </c>
      <c r="D126" s="15"/>
      <c r="E126" s="15"/>
      <c r="F126" s="15"/>
      <c r="G126" s="15">
        <v>25231</v>
      </c>
      <c r="H126" s="15">
        <v>26015</v>
      </c>
      <c r="I126" s="64">
        <v>27104</v>
      </c>
      <c r="J126" s="65">
        <v>28277</v>
      </c>
      <c r="K126" s="15">
        <v>31590</v>
      </c>
      <c r="L126" s="65">
        <v>43632</v>
      </c>
      <c r="M126" s="15">
        <v>31738</v>
      </c>
      <c r="N126" s="66">
        <v>36100</v>
      </c>
      <c r="O126" s="66">
        <v>36600</v>
      </c>
      <c r="P126" s="66">
        <v>37100</v>
      </c>
      <c r="Q126" s="66">
        <v>37700</v>
      </c>
      <c r="R126" s="66">
        <v>38400</v>
      </c>
      <c r="S126" s="66">
        <v>39200</v>
      </c>
      <c r="T126" s="66">
        <v>40200</v>
      </c>
      <c r="U126" s="66">
        <v>41200</v>
      </c>
      <c r="V126" s="66">
        <v>42300</v>
      </c>
      <c r="W126" s="66">
        <v>43500</v>
      </c>
      <c r="X126" s="66">
        <v>44700</v>
      </c>
      <c r="Y126" s="66">
        <v>46000</v>
      </c>
      <c r="Z126" s="66">
        <v>47200</v>
      </c>
      <c r="AA126" s="66">
        <v>48600</v>
      </c>
      <c r="AB126" s="66">
        <v>49900</v>
      </c>
      <c r="AC126" s="66">
        <v>51400</v>
      </c>
      <c r="AD126" s="66">
        <v>53000</v>
      </c>
      <c r="AE126" s="66">
        <v>55000</v>
      </c>
      <c r="AF126" s="66">
        <v>57100</v>
      </c>
      <c r="AG126" s="66">
        <v>59300</v>
      </c>
      <c r="AH126" s="66">
        <v>61500</v>
      </c>
      <c r="AI126" s="66">
        <v>63500</v>
      </c>
      <c r="AJ126" s="66">
        <v>65400.000000000007</v>
      </c>
      <c r="AK126" s="66">
        <v>67200</v>
      </c>
      <c r="AL126" s="66">
        <v>68800</v>
      </c>
      <c r="AM126" s="66">
        <v>70400</v>
      </c>
      <c r="AN126" s="66">
        <v>72000</v>
      </c>
      <c r="AO126" s="66">
        <v>73600</v>
      </c>
    </row>
    <row r="127" spans="2:41" x14ac:dyDescent="0.25">
      <c r="B127" s="4"/>
      <c r="C127" s="4" t="s">
        <v>97</v>
      </c>
      <c r="D127" s="123">
        <f>SUM(D107:D126)</f>
        <v>376574</v>
      </c>
      <c r="E127" s="123">
        <f t="shared" ref="E127:K127" si="4">SUM(E107:E126)</f>
        <v>389370</v>
      </c>
      <c r="F127" s="123">
        <f t="shared" si="4"/>
        <v>388804</v>
      </c>
      <c r="G127" s="123">
        <f t="shared" si="4"/>
        <v>391259</v>
      </c>
      <c r="H127" s="123">
        <f t="shared" si="4"/>
        <v>381367</v>
      </c>
      <c r="I127" s="123">
        <f t="shared" si="4"/>
        <v>388545</v>
      </c>
      <c r="J127" s="123">
        <f t="shared" si="4"/>
        <v>392781</v>
      </c>
      <c r="K127" s="123">
        <f t="shared" si="4"/>
        <v>417556</v>
      </c>
      <c r="L127" s="123">
        <f>SUM(L107:L126)</f>
        <v>436411</v>
      </c>
      <c r="M127" s="123">
        <f>SUM(M107:M126)</f>
        <v>395580</v>
      </c>
      <c r="N127" s="124">
        <f>SUM(N107:N126)</f>
        <v>440400</v>
      </c>
      <c r="O127" s="124">
        <f t="shared" ref="O127:AO127" si="5">SUM(O107:O126)</f>
        <v>437900</v>
      </c>
      <c r="P127" s="124">
        <f t="shared" si="5"/>
        <v>437600</v>
      </c>
      <c r="Q127" s="124">
        <f t="shared" si="5"/>
        <v>440100</v>
      </c>
      <c r="R127" s="124">
        <f t="shared" si="5"/>
        <v>444700</v>
      </c>
      <c r="S127" s="124">
        <f t="shared" si="5"/>
        <v>451800</v>
      </c>
      <c r="T127" s="124">
        <f t="shared" si="5"/>
        <v>461300</v>
      </c>
      <c r="U127" s="124">
        <f t="shared" si="5"/>
        <v>471600</v>
      </c>
      <c r="V127" s="124">
        <f t="shared" si="5"/>
        <v>484000</v>
      </c>
      <c r="W127" s="124">
        <f t="shared" si="5"/>
        <v>497200</v>
      </c>
      <c r="X127" s="124">
        <f t="shared" si="5"/>
        <v>510900</v>
      </c>
      <c r="Y127" s="124">
        <f t="shared" si="5"/>
        <v>525200</v>
      </c>
      <c r="Z127" s="124">
        <f t="shared" si="5"/>
        <v>539100</v>
      </c>
      <c r="AA127" s="124">
        <f t="shared" si="5"/>
        <v>553500</v>
      </c>
      <c r="AB127" s="124">
        <f t="shared" si="5"/>
        <v>567400</v>
      </c>
      <c r="AC127" s="124">
        <f t="shared" si="5"/>
        <v>580800</v>
      </c>
      <c r="AD127" s="124">
        <f t="shared" si="5"/>
        <v>594000</v>
      </c>
      <c r="AE127" s="124">
        <f t="shared" si="5"/>
        <v>607500</v>
      </c>
      <c r="AF127" s="124">
        <f t="shared" si="5"/>
        <v>621300</v>
      </c>
      <c r="AG127" s="124">
        <f t="shared" si="5"/>
        <v>635100</v>
      </c>
      <c r="AH127" s="124">
        <f t="shared" si="5"/>
        <v>648700</v>
      </c>
      <c r="AI127" s="124">
        <f t="shared" si="5"/>
        <v>662000</v>
      </c>
      <c r="AJ127" s="124">
        <f t="shared" si="5"/>
        <v>674100</v>
      </c>
      <c r="AK127" s="124">
        <f t="shared" si="5"/>
        <v>685700</v>
      </c>
      <c r="AL127" s="124">
        <f t="shared" si="5"/>
        <v>695900</v>
      </c>
      <c r="AM127" s="124">
        <f t="shared" si="5"/>
        <v>705800</v>
      </c>
      <c r="AN127" s="124">
        <f t="shared" si="5"/>
        <v>715200</v>
      </c>
      <c r="AO127" s="124">
        <f t="shared" si="5"/>
        <v>725100</v>
      </c>
    </row>
  </sheetData>
  <mergeCells count="10">
    <mergeCell ref="I79:M79"/>
    <mergeCell ref="N79:U79"/>
    <mergeCell ref="I105:M105"/>
    <mergeCell ref="N105:U105"/>
    <mergeCell ref="I3:M3"/>
    <mergeCell ref="N3:U3"/>
    <mergeCell ref="I28:M28"/>
    <mergeCell ref="N28:U28"/>
    <mergeCell ref="I53:M53"/>
    <mergeCell ref="N53:U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1"/>
  <sheetViews>
    <sheetView topLeftCell="A2" workbookViewId="0">
      <selection activeCell="D25" sqref="D25"/>
    </sheetView>
  </sheetViews>
  <sheetFormatPr defaultRowHeight="15" x14ac:dyDescent="0.25"/>
  <cols>
    <col min="3" max="3" width="30.7109375" customWidth="1"/>
    <col min="21" max="21" width="23.5703125" customWidth="1"/>
  </cols>
  <sheetData>
    <row r="2" spans="2:24" ht="36.75" customHeight="1" x14ac:dyDescent="0.25">
      <c r="B2" s="125"/>
      <c r="C2" s="126" t="s">
        <v>110</v>
      </c>
      <c r="D2" s="126"/>
      <c r="E2" s="126"/>
      <c r="F2" s="126"/>
      <c r="G2" s="126"/>
      <c r="H2" s="126"/>
      <c r="I2" s="125"/>
      <c r="J2" s="126"/>
      <c r="K2" s="126"/>
      <c r="L2" s="126"/>
      <c r="M2" s="126"/>
      <c r="N2" s="126"/>
      <c r="O2" s="126"/>
      <c r="P2" s="126"/>
      <c r="Q2" s="126"/>
      <c r="R2" s="126"/>
      <c r="S2" s="125"/>
      <c r="T2" s="125"/>
      <c r="U2" s="125"/>
      <c r="V2" s="125"/>
      <c r="W2" s="125"/>
      <c r="X2" s="125"/>
    </row>
    <row r="3" spans="2:24" ht="42" customHeight="1" x14ac:dyDescent="0.25">
      <c r="B3" s="125"/>
      <c r="C3" s="127" t="s">
        <v>111</v>
      </c>
      <c r="D3" s="128"/>
      <c r="E3" s="128"/>
      <c r="F3" s="128"/>
      <c r="G3" s="128"/>
      <c r="H3" s="128"/>
      <c r="I3" s="125"/>
      <c r="J3" s="128"/>
      <c r="K3" s="128"/>
      <c r="L3" s="128"/>
      <c r="M3" s="128"/>
      <c r="N3" s="128"/>
      <c r="O3" s="128"/>
      <c r="P3" s="128"/>
      <c r="Q3" s="128"/>
      <c r="R3" s="128"/>
      <c r="S3" s="125"/>
      <c r="T3" s="125"/>
      <c r="U3" s="125"/>
      <c r="V3" s="125"/>
      <c r="W3" s="125"/>
      <c r="X3" s="125"/>
    </row>
    <row r="4" spans="2:24" ht="46.5" customHeight="1" x14ac:dyDescent="0.25">
      <c r="B4" s="125"/>
      <c r="C4" s="129" t="s">
        <v>112</v>
      </c>
      <c r="D4" s="130">
        <v>2015</v>
      </c>
      <c r="E4" s="130">
        <v>2016</v>
      </c>
      <c r="F4" s="130">
        <v>2017</v>
      </c>
      <c r="G4" s="130">
        <v>2018</v>
      </c>
      <c r="H4" s="130">
        <v>2019</v>
      </c>
      <c r="I4" s="130">
        <v>2022</v>
      </c>
      <c r="J4" s="130"/>
      <c r="K4" s="130"/>
      <c r="L4" s="130" t="s">
        <v>113</v>
      </c>
      <c r="M4" s="130"/>
      <c r="N4" s="130"/>
      <c r="O4" s="130" t="s">
        <v>115</v>
      </c>
      <c r="P4" s="130"/>
      <c r="Q4" s="130"/>
      <c r="R4" s="130" t="s">
        <v>114</v>
      </c>
      <c r="S4" s="125"/>
      <c r="T4" s="125"/>
      <c r="U4" s="125"/>
      <c r="V4" s="125"/>
      <c r="W4" s="125"/>
      <c r="X4" s="125"/>
    </row>
    <row r="5" spans="2:24" x14ac:dyDescent="0.25">
      <c r="B5" s="131">
        <v>1</v>
      </c>
      <c r="C5" s="139" t="s">
        <v>116</v>
      </c>
      <c r="D5" s="140">
        <v>395</v>
      </c>
      <c r="E5" s="141">
        <v>379</v>
      </c>
      <c r="F5" s="141">
        <v>401</v>
      </c>
      <c r="G5" s="142">
        <v>396</v>
      </c>
      <c r="H5" s="142">
        <v>442</v>
      </c>
      <c r="I5" s="141">
        <v>514</v>
      </c>
      <c r="J5" s="132">
        <v>24</v>
      </c>
      <c r="K5" s="132"/>
      <c r="L5" s="133">
        <v>24</v>
      </c>
      <c r="M5" s="132">
        <v>193</v>
      </c>
      <c r="N5" s="132"/>
      <c r="O5" s="133">
        <v>193</v>
      </c>
      <c r="P5" s="134">
        <v>297</v>
      </c>
      <c r="Q5" s="134"/>
      <c r="R5" s="133">
        <v>297</v>
      </c>
      <c r="S5" s="125"/>
      <c r="T5" s="125"/>
      <c r="U5" s="6" t="s">
        <v>117</v>
      </c>
      <c r="V5" s="135"/>
      <c r="W5" s="7"/>
      <c r="X5" s="125"/>
    </row>
    <row r="6" spans="2:24" x14ac:dyDescent="0.25">
      <c r="B6" s="131">
        <v>2</v>
      </c>
      <c r="C6" s="145" t="s">
        <v>118</v>
      </c>
      <c r="D6" s="140">
        <v>16</v>
      </c>
      <c r="E6" s="141">
        <v>18</v>
      </c>
      <c r="F6" s="141">
        <v>17</v>
      </c>
      <c r="G6" s="142">
        <v>17</v>
      </c>
      <c r="H6" s="142">
        <v>20</v>
      </c>
      <c r="I6" s="141">
        <v>21</v>
      </c>
      <c r="J6" s="132">
        <v>2</v>
      </c>
      <c r="K6" s="132">
        <v>0</v>
      </c>
      <c r="L6" s="133">
        <v>2</v>
      </c>
      <c r="M6" s="132">
        <v>5</v>
      </c>
      <c r="N6" s="132">
        <v>0</v>
      </c>
      <c r="O6" s="133">
        <v>5</v>
      </c>
      <c r="P6" s="134">
        <v>6</v>
      </c>
      <c r="Q6" s="134">
        <v>8</v>
      </c>
      <c r="R6" s="133">
        <v>14</v>
      </c>
      <c r="S6" s="125"/>
      <c r="T6" s="125"/>
      <c r="U6" s="6" t="s">
        <v>119</v>
      </c>
      <c r="V6" s="6" t="s">
        <v>120</v>
      </c>
      <c r="W6" s="135"/>
      <c r="X6" s="7"/>
    </row>
    <row r="7" spans="2:24" x14ac:dyDescent="0.25">
      <c r="B7" s="131">
        <v>3</v>
      </c>
      <c r="C7" s="145" t="s">
        <v>58</v>
      </c>
      <c r="D7" s="140">
        <v>41</v>
      </c>
      <c r="E7" s="141">
        <v>34</v>
      </c>
      <c r="F7" s="141">
        <v>31</v>
      </c>
      <c r="G7" s="142">
        <v>30</v>
      </c>
      <c r="H7" s="142">
        <v>44</v>
      </c>
      <c r="I7" s="141">
        <v>36</v>
      </c>
      <c r="J7" s="132">
        <v>5</v>
      </c>
      <c r="K7" s="132">
        <v>0</v>
      </c>
      <c r="L7" s="133">
        <v>5</v>
      </c>
      <c r="M7" s="132">
        <v>11</v>
      </c>
      <c r="N7" s="132">
        <v>1</v>
      </c>
      <c r="O7" s="133">
        <v>12</v>
      </c>
      <c r="P7" s="134">
        <v>19</v>
      </c>
      <c r="Q7" s="134">
        <v>0</v>
      </c>
      <c r="R7" s="133">
        <v>19</v>
      </c>
      <c r="S7" s="125"/>
      <c r="T7" s="125"/>
      <c r="U7" s="6" t="s">
        <v>121</v>
      </c>
      <c r="V7" s="6" t="s">
        <v>122</v>
      </c>
      <c r="W7" s="135"/>
      <c r="X7" s="7"/>
    </row>
    <row r="8" spans="2:24" x14ac:dyDescent="0.25">
      <c r="B8" s="131">
        <v>4</v>
      </c>
      <c r="C8" s="145" t="s">
        <v>60</v>
      </c>
      <c r="D8" s="140">
        <v>334</v>
      </c>
      <c r="E8" s="141">
        <v>311</v>
      </c>
      <c r="F8" s="141">
        <v>304</v>
      </c>
      <c r="G8" s="142">
        <v>319</v>
      </c>
      <c r="H8" s="142">
        <v>315</v>
      </c>
      <c r="I8" s="141">
        <v>359</v>
      </c>
      <c r="J8" s="132">
        <v>40</v>
      </c>
      <c r="K8" s="132">
        <v>0</v>
      </c>
      <c r="L8" s="133">
        <v>40</v>
      </c>
      <c r="M8" s="132">
        <v>53</v>
      </c>
      <c r="N8" s="132">
        <v>2</v>
      </c>
      <c r="O8" s="133">
        <v>55</v>
      </c>
      <c r="P8" s="134">
        <v>200</v>
      </c>
      <c r="Q8" s="134">
        <v>64</v>
      </c>
      <c r="R8" s="133">
        <v>264</v>
      </c>
      <c r="S8" s="125"/>
      <c r="T8" s="125"/>
      <c r="U8" s="6" t="s">
        <v>123</v>
      </c>
      <c r="V8" s="6" t="s">
        <v>124</v>
      </c>
      <c r="W8" s="135"/>
      <c r="X8" s="7"/>
    </row>
    <row r="9" spans="2:24" x14ac:dyDescent="0.25">
      <c r="B9" s="131">
        <v>5</v>
      </c>
      <c r="C9" s="145" t="s">
        <v>125</v>
      </c>
      <c r="D9" s="140">
        <v>30</v>
      </c>
      <c r="E9" s="141">
        <v>34</v>
      </c>
      <c r="F9" s="141">
        <v>41</v>
      </c>
      <c r="G9" s="142">
        <v>37</v>
      </c>
      <c r="H9" s="142">
        <v>38</v>
      </c>
      <c r="I9" s="141">
        <v>64</v>
      </c>
      <c r="J9" s="132">
        <v>8</v>
      </c>
      <c r="K9" s="132">
        <v>0</v>
      </c>
      <c r="L9" s="133">
        <v>8</v>
      </c>
      <c r="M9" s="132">
        <v>28</v>
      </c>
      <c r="N9" s="132">
        <v>0</v>
      </c>
      <c r="O9" s="133">
        <v>28</v>
      </c>
      <c r="P9" s="134">
        <v>22</v>
      </c>
      <c r="Q9" s="134">
        <v>6</v>
      </c>
      <c r="R9" s="133">
        <v>28</v>
      </c>
      <c r="S9" s="125"/>
      <c r="T9" s="125"/>
      <c r="U9" s="6" t="s">
        <v>126</v>
      </c>
      <c r="V9" s="6" t="s">
        <v>127</v>
      </c>
      <c r="W9" s="135"/>
      <c r="X9" s="7"/>
    </row>
    <row r="10" spans="2:24" x14ac:dyDescent="0.25">
      <c r="B10" s="131">
        <v>6</v>
      </c>
      <c r="C10" s="145" t="s">
        <v>128</v>
      </c>
      <c r="D10" s="140">
        <v>19</v>
      </c>
      <c r="E10" s="141">
        <v>18</v>
      </c>
      <c r="F10" s="141">
        <v>20</v>
      </c>
      <c r="G10" s="142">
        <v>18</v>
      </c>
      <c r="H10" s="142">
        <v>24</v>
      </c>
      <c r="I10" s="141">
        <v>29</v>
      </c>
      <c r="J10" s="132">
        <v>0</v>
      </c>
      <c r="K10" s="132"/>
      <c r="L10" s="133">
        <v>0</v>
      </c>
      <c r="M10" s="132">
        <v>22</v>
      </c>
      <c r="N10" s="132"/>
      <c r="O10" s="133">
        <v>22</v>
      </c>
      <c r="P10" s="134">
        <v>7</v>
      </c>
      <c r="Q10" s="134"/>
      <c r="R10" s="133">
        <v>7</v>
      </c>
      <c r="S10" s="125"/>
      <c r="T10" s="125"/>
      <c r="U10" s="6" t="s">
        <v>129</v>
      </c>
      <c r="V10" s="135"/>
      <c r="W10" s="7"/>
      <c r="X10" s="125"/>
    </row>
    <row r="11" spans="2:24" x14ac:dyDescent="0.25">
      <c r="B11" s="131">
        <v>7</v>
      </c>
      <c r="C11" s="145" t="s">
        <v>130</v>
      </c>
      <c r="D11" s="140">
        <v>80</v>
      </c>
      <c r="E11" s="141">
        <v>70</v>
      </c>
      <c r="F11" s="141">
        <v>81</v>
      </c>
      <c r="G11" s="142">
        <v>76</v>
      </c>
      <c r="H11" s="142">
        <v>74</v>
      </c>
      <c r="I11" s="141">
        <v>78</v>
      </c>
      <c r="J11" s="132">
        <v>9</v>
      </c>
      <c r="K11" s="132">
        <v>0</v>
      </c>
      <c r="L11" s="133">
        <v>9</v>
      </c>
      <c r="M11" s="132">
        <v>27</v>
      </c>
      <c r="N11" s="132">
        <v>2</v>
      </c>
      <c r="O11" s="133">
        <v>29</v>
      </c>
      <c r="P11" s="134">
        <v>39</v>
      </c>
      <c r="Q11" s="134">
        <v>1</v>
      </c>
      <c r="R11" s="133">
        <v>40</v>
      </c>
      <c r="S11" s="125"/>
      <c r="T11" s="125"/>
      <c r="U11" s="6" t="s">
        <v>131</v>
      </c>
      <c r="V11" s="6" t="s">
        <v>132</v>
      </c>
      <c r="W11" s="135"/>
      <c r="X11" s="7"/>
    </row>
    <row r="12" spans="2:24" x14ac:dyDescent="0.25">
      <c r="B12" s="131">
        <v>8</v>
      </c>
      <c r="C12" s="145" t="s">
        <v>12</v>
      </c>
      <c r="D12" s="140">
        <v>72</v>
      </c>
      <c r="E12" s="141">
        <v>76</v>
      </c>
      <c r="F12" s="141">
        <v>78</v>
      </c>
      <c r="G12" s="142">
        <v>68</v>
      </c>
      <c r="H12" s="142">
        <v>75</v>
      </c>
      <c r="I12" s="141">
        <v>98</v>
      </c>
      <c r="J12" s="132">
        <v>6</v>
      </c>
      <c r="K12" s="132">
        <v>1</v>
      </c>
      <c r="L12" s="133">
        <v>7</v>
      </c>
      <c r="M12" s="132">
        <v>6</v>
      </c>
      <c r="N12" s="132">
        <v>0</v>
      </c>
      <c r="O12" s="133">
        <v>6</v>
      </c>
      <c r="P12" s="134">
        <v>42</v>
      </c>
      <c r="Q12" s="134">
        <v>43</v>
      </c>
      <c r="R12" s="133">
        <v>85</v>
      </c>
      <c r="S12" s="125"/>
      <c r="T12" s="125"/>
      <c r="U12" s="6" t="s">
        <v>133</v>
      </c>
      <c r="V12" s="6" t="s">
        <v>134</v>
      </c>
      <c r="W12" s="135"/>
      <c r="X12" s="7"/>
    </row>
    <row r="13" spans="2:24" x14ac:dyDescent="0.25">
      <c r="B13" s="131">
        <v>9</v>
      </c>
      <c r="C13" s="145" t="s">
        <v>11</v>
      </c>
      <c r="D13" s="140">
        <v>146</v>
      </c>
      <c r="E13" s="141">
        <v>147</v>
      </c>
      <c r="F13" s="141">
        <v>152</v>
      </c>
      <c r="G13" s="142">
        <v>155</v>
      </c>
      <c r="H13" s="142">
        <v>187</v>
      </c>
      <c r="I13" s="141">
        <v>209</v>
      </c>
      <c r="J13" s="132">
        <v>24</v>
      </c>
      <c r="K13" s="132">
        <v>0</v>
      </c>
      <c r="L13" s="133">
        <v>24</v>
      </c>
      <c r="M13" s="132">
        <v>30</v>
      </c>
      <c r="N13" s="132">
        <v>7</v>
      </c>
      <c r="O13" s="133">
        <v>37</v>
      </c>
      <c r="P13" s="134">
        <v>136</v>
      </c>
      <c r="Q13" s="134">
        <v>12</v>
      </c>
      <c r="R13" s="133">
        <v>148</v>
      </c>
      <c r="S13" s="125"/>
      <c r="T13" s="125"/>
      <c r="U13" s="6" t="s">
        <v>135</v>
      </c>
      <c r="V13" s="6" t="s">
        <v>136</v>
      </c>
      <c r="W13" s="135"/>
      <c r="X13" s="7"/>
    </row>
    <row r="14" spans="2:24" x14ac:dyDescent="0.25">
      <c r="B14" s="131">
        <v>10</v>
      </c>
      <c r="C14" s="145" t="s">
        <v>137</v>
      </c>
      <c r="D14" s="140">
        <v>45</v>
      </c>
      <c r="E14" s="141">
        <v>40</v>
      </c>
      <c r="F14" s="141">
        <v>36</v>
      </c>
      <c r="G14" s="142">
        <v>33</v>
      </c>
      <c r="H14" s="142">
        <v>32</v>
      </c>
      <c r="I14" s="141">
        <v>41</v>
      </c>
      <c r="J14" s="132">
        <v>0</v>
      </c>
      <c r="K14" s="132">
        <v>0</v>
      </c>
      <c r="L14" s="133">
        <v>0</v>
      </c>
      <c r="M14" s="132">
        <v>0</v>
      </c>
      <c r="N14" s="132">
        <v>0</v>
      </c>
      <c r="O14" s="133">
        <v>0</v>
      </c>
      <c r="P14" s="134">
        <v>29</v>
      </c>
      <c r="Q14" s="134">
        <v>12</v>
      </c>
      <c r="R14" s="133">
        <v>41</v>
      </c>
      <c r="S14" s="125"/>
      <c r="T14" s="125"/>
      <c r="U14" s="6" t="s">
        <v>138</v>
      </c>
      <c r="V14" s="6" t="s">
        <v>139</v>
      </c>
      <c r="W14" s="135"/>
      <c r="X14" s="7"/>
    </row>
    <row r="15" spans="2:24" x14ac:dyDescent="0.25">
      <c r="B15" s="131">
        <v>11</v>
      </c>
      <c r="C15" s="145" t="s">
        <v>140</v>
      </c>
      <c r="D15" s="140">
        <v>12</v>
      </c>
      <c r="E15" s="141">
        <v>12</v>
      </c>
      <c r="F15" s="141">
        <v>15</v>
      </c>
      <c r="G15" s="142">
        <v>15</v>
      </c>
      <c r="H15" s="142">
        <v>20</v>
      </c>
      <c r="I15" s="141">
        <v>20</v>
      </c>
      <c r="J15" s="132">
        <v>0</v>
      </c>
      <c r="K15" s="132"/>
      <c r="L15" s="133">
        <v>0</v>
      </c>
      <c r="M15" s="132">
        <v>6</v>
      </c>
      <c r="N15" s="132"/>
      <c r="O15" s="133">
        <v>6</v>
      </c>
      <c r="P15" s="134">
        <v>14</v>
      </c>
      <c r="Q15" s="134"/>
      <c r="R15" s="133">
        <v>14</v>
      </c>
      <c r="S15" s="125"/>
      <c r="T15" s="125"/>
      <c r="U15" s="6" t="s">
        <v>141</v>
      </c>
      <c r="V15" s="135"/>
      <c r="W15" s="7"/>
      <c r="X15" s="125"/>
    </row>
    <row r="16" spans="2:24" x14ac:dyDescent="0.25">
      <c r="B16" s="131">
        <v>12</v>
      </c>
      <c r="C16" s="139" t="s">
        <v>142</v>
      </c>
      <c r="D16" s="140">
        <v>194</v>
      </c>
      <c r="E16" s="141">
        <v>191</v>
      </c>
      <c r="F16" s="141">
        <v>194</v>
      </c>
      <c r="G16" s="142">
        <v>193</v>
      </c>
      <c r="H16" s="142">
        <v>217</v>
      </c>
      <c r="I16" s="141">
        <v>248</v>
      </c>
      <c r="J16" s="132">
        <v>16</v>
      </c>
      <c r="K16" s="132">
        <v>1</v>
      </c>
      <c r="L16" s="133">
        <v>17</v>
      </c>
      <c r="M16" s="132">
        <v>49</v>
      </c>
      <c r="N16" s="132">
        <v>21</v>
      </c>
      <c r="O16" s="133">
        <v>70</v>
      </c>
      <c r="P16" s="134">
        <v>105</v>
      </c>
      <c r="Q16" s="134">
        <v>56</v>
      </c>
      <c r="R16" s="133">
        <v>161</v>
      </c>
      <c r="S16" s="125"/>
      <c r="T16" s="125"/>
      <c r="U16" s="6" t="s">
        <v>143</v>
      </c>
      <c r="V16" s="6" t="s">
        <v>144</v>
      </c>
      <c r="W16" s="135"/>
      <c r="X16" s="7"/>
    </row>
    <row r="17" spans="2:24" x14ac:dyDescent="0.25">
      <c r="B17" s="131">
        <v>13</v>
      </c>
      <c r="C17" s="139" t="s">
        <v>145</v>
      </c>
      <c r="D17" s="140">
        <v>56</v>
      </c>
      <c r="E17" s="141">
        <v>56</v>
      </c>
      <c r="F17" s="141">
        <v>57</v>
      </c>
      <c r="G17" s="142">
        <v>58</v>
      </c>
      <c r="H17" s="142">
        <v>58</v>
      </c>
      <c r="I17" s="141">
        <v>67</v>
      </c>
      <c r="J17" s="132">
        <v>4</v>
      </c>
      <c r="K17" s="132">
        <v>0</v>
      </c>
      <c r="L17" s="133">
        <v>4</v>
      </c>
      <c r="M17" s="132">
        <v>2</v>
      </c>
      <c r="N17" s="132">
        <v>0</v>
      </c>
      <c r="O17" s="133">
        <v>2</v>
      </c>
      <c r="P17" s="134">
        <v>54</v>
      </c>
      <c r="Q17" s="134">
        <v>7</v>
      </c>
      <c r="R17" s="133">
        <v>61</v>
      </c>
      <c r="S17" s="125"/>
      <c r="T17" s="125"/>
      <c r="U17" s="6" t="s">
        <v>146</v>
      </c>
      <c r="V17" s="6" t="s">
        <v>147</v>
      </c>
      <c r="W17" s="135"/>
      <c r="X17" s="7"/>
    </row>
    <row r="18" spans="2:24" x14ac:dyDescent="0.25">
      <c r="B18" s="131">
        <v>14</v>
      </c>
      <c r="C18" s="145" t="s">
        <v>54</v>
      </c>
      <c r="D18" s="140">
        <v>91</v>
      </c>
      <c r="E18" s="141">
        <v>98</v>
      </c>
      <c r="F18" s="141">
        <v>100</v>
      </c>
      <c r="G18" s="142">
        <v>94</v>
      </c>
      <c r="H18" s="142">
        <v>101</v>
      </c>
      <c r="I18" s="141">
        <v>106</v>
      </c>
      <c r="J18" s="132">
        <v>0</v>
      </c>
      <c r="K18" s="132"/>
      <c r="L18" s="133">
        <v>0</v>
      </c>
      <c r="M18" s="132">
        <v>1</v>
      </c>
      <c r="N18" s="132"/>
      <c r="O18" s="133">
        <v>1</v>
      </c>
      <c r="P18" s="134">
        <v>105</v>
      </c>
      <c r="Q18" s="134"/>
      <c r="R18" s="133">
        <v>105</v>
      </c>
      <c r="S18" s="125"/>
      <c r="T18" s="125"/>
      <c r="U18" s="6" t="s">
        <v>148</v>
      </c>
      <c r="V18" s="135"/>
      <c r="W18" s="7"/>
      <c r="X18" s="125"/>
    </row>
    <row r="19" spans="2:24" x14ac:dyDescent="0.25">
      <c r="B19" s="131">
        <v>15</v>
      </c>
      <c r="C19" s="145" t="s">
        <v>9</v>
      </c>
      <c r="D19" s="140">
        <v>35</v>
      </c>
      <c r="E19" s="141">
        <v>30</v>
      </c>
      <c r="F19" s="141">
        <v>40</v>
      </c>
      <c r="G19" s="142">
        <v>38</v>
      </c>
      <c r="H19" s="142">
        <v>46</v>
      </c>
      <c r="I19" s="141">
        <v>51</v>
      </c>
      <c r="J19" s="132">
        <v>2</v>
      </c>
      <c r="K19" s="132">
        <v>0</v>
      </c>
      <c r="L19" s="133">
        <v>2</v>
      </c>
      <c r="M19" s="132">
        <v>32</v>
      </c>
      <c r="N19" s="132">
        <v>1</v>
      </c>
      <c r="O19" s="133">
        <v>33</v>
      </c>
      <c r="P19" s="134">
        <v>12</v>
      </c>
      <c r="Q19" s="134">
        <v>4</v>
      </c>
      <c r="R19" s="133">
        <v>16</v>
      </c>
      <c r="S19" s="125"/>
      <c r="T19" s="125"/>
      <c r="U19" s="6" t="s">
        <v>149</v>
      </c>
      <c r="V19" s="6" t="s">
        <v>150</v>
      </c>
      <c r="W19" s="135"/>
      <c r="X19" s="7"/>
    </row>
    <row r="20" spans="2:24" x14ac:dyDescent="0.25">
      <c r="B20" s="131">
        <v>16</v>
      </c>
      <c r="C20" s="145" t="s">
        <v>151</v>
      </c>
      <c r="D20" s="140">
        <v>206</v>
      </c>
      <c r="E20" s="141">
        <v>180</v>
      </c>
      <c r="F20" s="141">
        <v>180</v>
      </c>
      <c r="G20" s="142">
        <v>188</v>
      </c>
      <c r="H20" s="142">
        <v>196</v>
      </c>
      <c r="I20" s="141">
        <v>235</v>
      </c>
      <c r="J20" s="132">
        <v>38</v>
      </c>
      <c r="K20" s="132"/>
      <c r="L20" s="133">
        <v>38</v>
      </c>
      <c r="M20" s="132">
        <v>63</v>
      </c>
      <c r="N20" s="132"/>
      <c r="O20" s="133">
        <v>63</v>
      </c>
      <c r="P20" s="134">
        <v>134</v>
      </c>
      <c r="Q20" s="134"/>
      <c r="R20" s="133">
        <v>134</v>
      </c>
      <c r="S20" s="125"/>
      <c r="T20" s="125"/>
      <c r="U20" s="136" t="s">
        <v>152</v>
      </c>
      <c r="V20" s="137"/>
      <c r="W20" s="138"/>
      <c r="X20" s="125"/>
    </row>
    <row r="21" spans="2:24" x14ac:dyDescent="0.25">
      <c r="B21" s="131">
        <v>17</v>
      </c>
      <c r="C21" s="145" t="s">
        <v>153</v>
      </c>
      <c r="D21" s="140">
        <v>79</v>
      </c>
      <c r="E21" s="141">
        <v>80</v>
      </c>
      <c r="F21" s="141">
        <v>81</v>
      </c>
      <c r="G21" s="142">
        <v>77</v>
      </c>
      <c r="H21" s="142">
        <v>84</v>
      </c>
      <c r="I21" s="141">
        <v>95</v>
      </c>
      <c r="J21" s="132">
        <v>4</v>
      </c>
      <c r="K21" s="132"/>
      <c r="L21" s="133">
        <v>4</v>
      </c>
      <c r="M21" s="132">
        <v>40</v>
      </c>
      <c r="N21" s="132"/>
      <c r="O21" s="133">
        <v>40</v>
      </c>
      <c r="P21" s="134">
        <v>51</v>
      </c>
      <c r="Q21" s="134"/>
      <c r="R21" s="133">
        <v>51</v>
      </c>
      <c r="S21" s="125"/>
      <c r="T21" s="125"/>
      <c r="U21" s="6" t="s">
        <v>154</v>
      </c>
      <c r="V21" s="135"/>
      <c r="W21" s="7"/>
      <c r="X21" s="125"/>
    </row>
    <row r="22" spans="2:24" x14ac:dyDescent="0.25">
      <c r="B22" s="131">
        <v>18</v>
      </c>
      <c r="C22" s="145" t="s">
        <v>55</v>
      </c>
      <c r="D22" s="140">
        <v>17</v>
      </c>
      <c r="E22" s="141">
        <v>21</v>
      </c>
      <c r="F22" s="141">
        <v>23</v>
      </c>
      <c r="G22" s="142">
        <v>22</v>
      </c>
      <c r="H22" s="142">
        <v>20</v>
      </c>
      <c r="I22" s="141">
        <v>33</v>
      </c>
      <c r="J22" s="132">
        <v>0</v>
      </c>
      <c r="K22" s="132">
        <v>0</v>
      </c>
      <c r="L22" s="133">
        <v>0</v>
      </c>
      <c r="M22" s="132">
        <v>1</v>
      </c>
      <c r="N22" s="132">
        <v>0</v>
      </c>
      <c r="O22" s="133">
        <v>1</v>
      </c>
      <c r="P22" s="134">
        <v>10</v>
      </c>
      <c r="Q22" s="134">
        <v>22</v>
      </c>
      <c r="R22" s="133">
        <v>32</v>
      </c>
      <c r="S22" s="125"/>
      <c r="T22" s="125"/>
      <c r="U22" s="6" t="s">
        <v>155</v>
      </c>
      <c r="V22" s="6" t="s">
        <v>156</v>
      </c>
      <c r="W22" s="135"/>
      <c r="X22" s="7"/>
    </row>
    <row r="23" spans="2:24" x14ac:dyDescent="0.25">
      <c r="B23" s="131">
        <v>19</v>
      </c>
      <c r="C23" s="145" t="s">
        <v>157</v>
      </c>
      <c r="D23" s="140">
        <v>121</v>
      </c>
      <c r="E23" s="141">
        <v>129</v>
      </c>
      <c r="F23" s="141">
        <v>131</v>
      </c>
      <c r="G23" s="142">
        <v>136</v>
      </c>
      <c r="H23" s="142">
        <v>130</v>
      </c>
      <c r="I23" s="141">
        <v>159</v>
      </c>
      <c r="J23" s="132">
        <v>17</v>
      </c>
      <c r="K23" s="132">
        <v>1</v>
      </c>
      <c r="L23" s="133">
        <v>18</v>
      </c>
      <c r="M23" s="132">
        <v>46</v>
      </c>
      <c r="N23" s="132">
        <v>12</v>
      </c>
      <c r="O23" s="133">
        <v>58</v>
      </c>
      <c r="P23" s="134">
        <v>49</v>
      </c>
      <c r="Q23" s="134">
        <v>34</v>
      </c>
      <c r="R23" s="133">
        <v>83</v>
      </c>
      <c r="S23" s="125"/>
      <c r="T23" s="125"/>
      <c r="U23" s="6" t="s">
        <v>158</v>
      </c>
      <c r="V23" s="6" t="s">
        <v>159</v>
      </c>
      <c r="W23" s="135"/>
      <c r="X23" s="7"/>
    </row>
    <row r="24" spans="2:24" x14ac:dyDescent="0.25">
      <c r="B24" s="131">
        <v>20</v>
      </c>
      <c r="C24" s="145" t="s">
        <v>3</v>
      </c>
      <c r="D24" s="140">
        <v>132</v>
      </c>
      <c r="E24" s="141">
        <v>134</v>
      </c>
      <c r="F24" s="141">
        <v>147</v>
      </c>
      <c r="G24" s="142">
        <v>134</v>
      </c>
      <c r="H24" s="142">
        <v>135</v>
      </c>
      <c r="I24" s="141">
        <v>191</v>
      </c>
      <c r="J24" s="132">
        <v>13</v>
      </c>
      <c r="K24" s="132">
        <v>1</v>
      </c>
      <c r="L24" s="133">
        <v>14</v>
      </c>
      <c r="M24" s="132">
        <v>91</v>
      </c>
      <c r="N24" s="132">
        <v>12</v>
      </c>
      <c r="O24" s="133">
        <v>103</v>
      </c>
      <c r="P24" s="134">
        <v>54</v>
      </c>
      <c r="Q24" s="134">
        <v>20</v>
      </c>
      <c r="R24" s="133">
        <v>74</v>
      </c>
      <c r="S24" s="125"/>
      <c r="T24" s="125"/>
      <c r="U24" s="6" t="s">
        <v>160</v>
      </c>
      <c r="V24" s="6" t="s">
        <v>161</v>
      </c>
      <c r="W24" s="135"/>
      <c r="X24" s="7"/>
    </row>
    <row r="25" spans="2:24" x14ac:dyDescent="0.25">
      <c r="B25" s="131">
        <v>21</v>
      </c>
      <c r="C25" s="145" t="s">
        <v>5</v>
      </c>
      <c r="D25" s="140">
        <v>42</v>
      </c>
      <c r="E25" s="141">
        <v>40</v>
      </c>
      <c r="F25" s="141">
        <v>41</v>
      </c>
      <c r="G25" s="142">
        <v>33</v>
      </c>
      <c r="H25" s="142">
        <v>33</v>
      </c>
      <c r="I25" s="141">
        <v>38</v>
      </c>
      <c r="J25" s="132">
        <v>6</v>
      </c>
      <c r="K25" s="132">
        <v>0</v>
      </c>
      <c r="L25" s="133">
        <v>6</v>
      </c>
      <c r="M25" s="132">
        <v>0</v>
      </c>
      <c r="N25" s="132">
        <v>0</v>
      </c>
      <c r="O25" s="133">
        <v>0</v>
      </c>
      <c r="P25" s="134">
        <v>27</v>
      </c>
      <c r="Q25" s="134">
        <v>5</v>
      </c>
      <c r="R25" s="133">
        <v>32</v>
      </c>
      <c r="S25" s="125"/>
      <c r="T25" s="125"/>
      <c r="U25" s="6" t="s">
        <v>162</v>
      </c>
      <c r="V25" s="6" t="s">
        <v>163</v>
      </c>
      <c r="W25" s="135"/>
      <c r="X25" s="7"/>
    </row>
    <row r="26" spans="2:24" x14ac:dyDescent="0.25">
      <c r="B26" s="131">
        <v>22</v>
      </c>
      <c r="C26" s="145" t="s">
        <v>6</v>
      </c>
      <c r="D26" s="140">
        <v>22</v>
      </c>
      <c r="E26" s="141">
        <v>27</v>
      </c>
      <c r="F26" s="141">
        <v>25</v>
      </c>
      <c r="G26" s="142">
        <v>23</v>
      </c>
      <c r="H26" s="142">
        <v>24</v>
      </c>
      <c r="I26" s="141">
        <v>40</v>
      </c>
      <c r="J26" s="132">
        <v>3</v>
      </c>
      <c r="K26" s="132">
        <v>0</v>
      </c>
      <c r="L26" s="133">
        <v>3</v>
      </c>
      <c r="M26" s="132">
        <v>7</v>
      </c>
      <c r="N26" s="132">
        <v>1</v>
      </c>
      <c r="O26" s="133">
        <v>8</v>
      </c>
      <c r="P26" s="134">
        <v>26</v>
      </c>
      <c r="Q26" s="134">
        <v>3</v>
      </c>
      <c r="R26" s="133">
        <v>29</v>
      </c>
      <c r="S26" s="125"/>
      <c r="T26" s="125"/>
      <c r="U26" s="6" t="s">
        <v>164</v>
      </c>
      <c r="V26" s="6" t="s">
        <v>165</v>
      </c>
      <c r="W26" s="135"/>
      <c r="X26" s="7"/>
    </row>
    <row r="27" spans="2:24" x14ac:dyDescent="0.25">
      <c r="B27" s="131">
        <v>23</v>
      </c>
      <c r="C27" s="145" t="s">
        <v>52</v>
      </c>
      <c r="D27" s="140">
        <v>17</v>
      </c>
      <c r="E27" s="141">
        <v>21</v>
      </c>
      <c r="F27" s="141">
        <v>22</v>
      </c>
      <c r="G27" s="142">
        <v>19</v>
      </c>
      <c r="H27" s="142">
        <v>15</v>
      </c>
      <c r="I27" s="141">
        <v>31</v>
      </c>
      <c r="J27" s="132">
        <v>2</v>
      </c>
      <c r="K27" s="132">
        <v>0</v>
      </c>
      <c r="L27" s="133">
        <v>2</v>
      </c>
      <c r="M27" s="132">
        <v>8</v>
      </c>
      <c r="N27" s="132">
        <v>0</v>
      </c>
      <c r="O27" s="133">
        <v>8</v>
      </c>
      <c r="P27" s="134">
        <v>15</v>
      </c>
      <c r="Q27" s="134">
        <v>6</v>
      </c>
      <c r="R27" s="133">
        <v>21</v>
      </c>
      <c r="S27" s="125"/>
      <c r="T27" s="125"/>
      <c r="U27" s="6" t="s">
        <v>166</v>
      </c>
      <c r="V27" s="6" t="s">
        <v>167</v>
      </c>
      <c r="W27" s="135"/>
      <c r="X27" s="7"/>
    </row>
    <row r="28" spans="2:24" x14ac:dyDescent="0.25">
      <c r="B28" s="131">
        <v>24</v>
      </c>
      <c r="C28" s="145" t="s">
        <v>168</v>
      </c>
      <c r="D28" s="140">
        <v>138</v>
      </c>
      <c r="E28" s="141">
        <v>147</v>
      </c>
      <c r="F28" s="141">
        <v>146</v>
      </c>
      <c r="G28" s="142">
        <v>151</v>
      </c>
      <c r="H28" s="142">
        <v>162</v>
      </c>
      <c r="I28" s="141">
        <v>196</v>
      </c>
      <c r="J28" s="132">
        <v>15</v>
      </c>
      <c r="K28" s="132">
        <v>0</v>
      </c>
      <c r="L28" s="133">
        <v>15</v>
      </c>
      <c r="M28" s="132">
        <v>30</v>
      </c>
      <c r="N28" s="132">
        <v>11</v>
      </c>
      <c r="O28" s="133">
        <v>41</v>
      </c>
      <c r="P28" s="134">
        <v>105</v>
      </c>
      <c r="Q28" s="134">
        <v>35</v>
      </c>
      <c r="R28" s="133">
        <v>140</v>
      </c>
      <c r="S28" s="125"/>
      <c r="T28" s="125"/>
      <c r="U28" s="6" t="s">
        <v>169</v>
      </c>
      <c r="V28" s="6" t="s">
        <v>170</v>
      </c>
      <c r="W28" s="135"/>
      <c r="X28" s="7"/>
    </row>
    <row r="29" spans="2:24" x14ac:dyDescent="0.25">
      <c r="B29" s="131">
        <v>25</v>
      </c>
      <c r="C29" s="145" t="s">
        <v>70</v>
      </c>
      <c r="D29" s="140">
        <v>87</v>
      </c>
      <c r="E29" s="141">
        <v>90</v>
      </c>
      <c r="F29" s="141">
        <v>98</v>
      </c>
      <c r="G29" s="142">
        <v>103</v>
      </c>
      <c r="H29" s="142">
        <v>110</v>
      </c>
      <c r="I29" s="141">
        <v>131</v>
      </c>
      <c r="J29" s="142"/>
      <c r="K29" s="142"/>
      <c r="L29" s="143"/>
      <c r="M29" s="142"/>
      <c r="N29" s="142"/>
      <c r="O29" s="143"/>
      <c r="P29" s="144"/>
      <c r="Q29" s="144"/>
      <c r="R29" s="143"/>
      <c r="S29" s="125"/>
      <c r="T29" s="125"/>
      <c r="U29" s="6" t="s">
        <v>171</v>
      </c>
      <c r="V29" s="217" t="s">
        <v>172</v>
      </c>
      <c r="W29" s="218"/>
      <c r="X29" s="219"/>
    </row>
    <row r="30" spans="2:24" x14ac:dyDescent="0.25">
      <c r="B30" s="131">
        <v>26</v>
      </c>
      <c r="C30" s="145" t="s">
        <v>173</v>
      </c>
      <c r="D30" s="140">
        <v>49</v>
      </c>
      <c r="E30" s="141">
        <v>44</v>
      </c>
      <c r="F30" s="141">
        <v>45</v>
      </c>
      <c r="G30" s="142">
        <v>49</v>
      </c>
      <c r="H30" s="142">
        <v>58</v>
      </c>
      <c r="I30" s="141">
        <v>65</v>
      </c>
      <c r="J30" s="142">
        <f>VLOOKUP(U30,'[1]ф.30(начало)'!$A:$J,9,)</f>
        <v>0</v>
      </c>
      <c r="K30" s="142"/>
      <c r="L30" s="143">
        <f t="shared" ref="L30:L31" si="0">J30+K30</f>
        <v>0</v>
      </c>
      <c r="M30" s="142">
        <f>VLOOKUP(U30,'[2]ф.30(начало)'!$A:$J,9,)</f>
        <v>10</v>
      </c>
      <c r="N30" s="142"/>
      <c r="O30" s="143">
        <f t="shared" ref="O30:O31" si="1">M30+N30</f>
        <v>10</v>
      </c>
      <c r="P30" s="144">
        <v>55</v>
      </c>
      <c r="Q30" s="144"/>
      <c r="R30" s="143">
        <f t="shared" ref="R30:R31" si="2">P30+Q30</f>
        <v>55</v>
      </c>
      <c r="S30" s="125"/>
      <c r="T30" s="125"/>
      <c r="U30" s="6" t="s">
        <v>174</v>
      </c>
      <c r="V30" s="135"/>
      <c r="W30" s="7"/>
      <c r="X30" s="125"/>
    </row>
    <row r="31" spans="2:24" x14ac:dyDescent="0.25">
      <c r="B31" s="131">
        <v>27</v>
      </c>
      <c r="C31" s="145" t="s">
        <v>8</v>
      </c>
      <c r="D31" s="141">
        <v>64</v>
      </c>
      <c r="E31" s="141">
        <v>78</v>
      </c>
      <c r="F31" s="141">
        <v>73</v>
      </c>
      <c r="G31" s="142">
        <v>69</v>
      </c>
      <c r="H31" s="142">
        <v>67</v>
      </c>
      <c r="I31" s="141">
        <v>102</v>
      </c>
      <c r="J31" s="142">
        <v>9</v>
      </c>
      <c r="K31" s="142">
        <f>VLOOKUP(V31,'[1]ф.30(начало)'!$A:$J,9,)</f>
        <v>0</v>
      </c>
      <c r="L31" s="143">
        <f t="shared" si="0"/>
        <v>9</v>
      </c>
      <c r="M31" s="142">
        <v>37</v>
      </c>
      <c r="N31" s="142">
        <v>4</v>
      </c>
      <c r="O31" s="143">
        <f t="shared" si="1"/>
        <v>41</v>
      </c>
      <c r="P31" s="144">
        <v>42</v>
      </c>
      <c r="Q31" s="144">
        <v>10</v>
      </c>
      <c r="R31" s="143">
        <f t="shared" si="2"/>
        <v>52</v>
      </c>
      <c r="S31" s="125"/>
      <c r="T31" s="125"/>
      <c r="U31" s="6" t="s">
        <v>175</v>
      </c>
      <c r="V31" s="6" t="s">
        <v>176</v>
      </c>
      <c r="W31" s="135"/>
      <c r="X31" s="7"/>
    </row>
  </sheetData>
  <mergeCells count="1">
    <mergeCell ref="V29:X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0"/>
  <sheetViews>
    <sheetView topLeftCell="A83" workbookViewId="0">
      <selection activeCell="D96" sqref="D96"/>
    </sheetView>
  </sheetViews>
  <sheetFormatPr defaultRowHeight="15" x14ac:dyDescent="0.25"/>
  <cols>
    <col min="3" max="3" width="19" customWidth="1"/>
    <col min="13" max="13" width="11.42578125" customWidth="1"/>
    <col min="15" max="15" width="15.42578125" customWidth="1"/>
  </cols>
  <sheetData>
    <row r="2" spans="2:15" x14ac:dyDescent="0.25"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</row>
    <row r="3" spans="2:15" ht="30" x14ac:dyDescent="0.25">
      <c r="B3" s="164" t="s">
        <v>177</v>
      </c>
      <c r="C3" s="146" t="s">
        <v>178</v>
      </c>
      <c r="D3" s="147">
        <v>2015</v>
      </c>
      <c r="E3" s="147">
        <v>2016</v>
      </c>
      <c r="F3" s="147">
        <v>2017</v>
      </c>
      <c r="G3" s="147">
        <v>2018</v>
      </c>
      <c r="H3" s="147">
        <v>2019</v>
      </c>
      <c r="I3" s="147">
        <v>2020</v>
      </c>
      <c r="J3" s="147">
        <v>2021</v>
      </c>
      <c r="K3" s="147">
        <v>2022</v>
      </c>
      <c r="L3" s="164"/>
      <c r="M3" s="164"/>
      <c r="N3" s="164"/>
      <c r="O3" s="164"/>
    </row>
    <row r="4" spans="2:15" x14ac:dyDescent="0.25">
      <c r="B4" s="164">
        <v>1</v>
      </c>
      <c r="C4" s="148" t="s">
        <v>116</v>
      </c>
      <c r="D4" s="178">
        <v>7527.3556620000008</v>
      </c>
      <c r="E4" s="178">
        <v>10557.527469999999</v>
      </c>
      <c r="F4" s="178">
        <v>22615.202788999999</v>
      </c>
      <c r="G4" s="178">
        <v>42449.013900000005</v>
      </c>
      <c r="H4" s="178">
        <v>28473.352819999996</v>
      </c>
      <c r="I4" s="178">
        <v>15975.463574000001</v>
      </c>
      <c r="J4" s="178">
        <v>27204.948216000001</v>
      </c>
      <c r="K4" s="178">
        <v>33941.751525</v>
      </c>
      <c r="L4" s="164"/>
      <c r="M4" s="164"/>
      <c r="N4" s="164"/>
      <c r="O4" s="164"/>
    </row>
    <row r="5" spans="2:15" ht="25.5" x14ac:dyDescent="0.25">
      <c r="B5" s="164">
        <v>2</v>
      </c>
      <c r="C5" s="149" t="s">
        <v>118</v>
      </c>
      <c r="D5" s="186">
        <v>15271</v>
      </c>
      <c r="E5" s="186">
        <v>15553</v>
      </c>
      <c r="F5" s="186">
        <v>15988</v>
      </c>
      <c r="G5" s="178">
        <v>17700</v>
      </c>
      <c r="H5" s="178">
        <v>21803</v>
      </c>
      <c r="I5" s="186">
        <v>18649</v>
      </c>
      <c r="J5" s="178">
        <v>15367</v>
      </c>
      <c r="K5" s="186">
        <v>16350</v>
      </c>
      <c r="L5" s="164"/>
      <c r="M5" s="164"/>
      <c r="N5" s="164"/>
      <c r="O5" s="164"/>
    </row>
    <row r="6" spans="2:15" ht="52.5" x14ac:dyDescent="0.25">
      <c r="B6" s="164">
        <v>3</v>
      </c>
      <c r="C6" s="148" t="s">
        <v>58</v>
      </c>
      <c r="D6" s="177" t="s">
        <v>59</v>
      </c>
      <c r="E6" s="179">
        <v>3185</v>
      </c>
      <c r="F6" s="179">
        <v>3192</v>
      </c>
      <c r="G6" s="180">
        <v>3334</v>
      </c>
      <c r="H6" s="179">
        <v>2454</v>
      </c>
      <c r="I6" s="187"/>
      <c r="J6" s="178"/>
      <c r="K6" s="179">
        <v>2885</v>
      </c>
      <c r="L6" s="164"/>
      <c r="M6" s="165" t="s">
        <v>179</v>
      </c>
      <c r="N6" s="164"/>
      <c r="O6" s="164"/>
    </row>
    <row r="7" spans="2:15" ht="21" x14ac:dyDescent="0.25">
      <c r="B7" s="164">
        <v>4</v>
      </c>
      <c r="C7" s="148" t="s">
        <v>60</v>
      </c>
      <c r="D7" s="177" t="s">
        <v>61</v>
      </c>
      <c r="E7" s="179">
        <v>87379</v>
      </c>
      <c r="F7" s="179">
        <v>89530</v>
      </c>
      <c r="G7" s="180">
        <v>94021</v>
      </c>
      <c r="H7" s="181">
        <v>87763</v>
      </c>
      <c r="I7" s="187"/>
      <c r="J7" s="178"/>
      <c r="K7" s="179">
        <v>103988</v>
      </c>
      <c r="L7" s="164"/>
      <c r="M7" s="166" t="s">
        <v>180</v>
      </c>
      <c r="N7" s="164"/>
      <c r="O7" s="164"/>
    </row>
    <row r="8" spans="2:15" x14ac:dyDescent="0.25">
      <c r="B8" s="164">
        <v>5</v>
      </c>
      <c r="C8" s="148" t="s">
        <v>125</v>
      </c>
      <c r="D8" s="178">
        <v>42507.929560000004</v>
      </c>
      <c r="E8" s="178">
        <v>48407.962763999996</v>
      </c>
      <c r="F8" s="178">
        <v>48141.343401000006</v>
      </c>
      <c r="G8" s="178">
        <v>54308.496624000007</v>
      </c>
      <c r="H8" s="178">
        <v>59948.135183999999</v>
      </c>
      <c r="I8" s="178">
        <v>62629.284857999999</v>
      </c>
      <c r="J8" s="178">
        <v>45154.232638999994</v>
      </c>
      <c r="K8" s="178">
        <v>63091.154812000001</v>
      </c>
      <c r="L8" s="164"/>
      <c r="M8" s="164"/>
      <c r="N8" s="164"/>
      <c r="O8" s="164"/>
    </row>
    <row r="9" spans="2:15" x14ac:dyDescent="0.25">
      <c r="B9" s="164">
        <v>6</v>
      </c>
      <c r="C9" s="148" t="s">
        <v>128</v>
      </c>
      <c r="D9" s="181">
        <v>7898.0654439999998</v>
      </c>
      <c r="E9" s="181">
        <v>4614.4538759999996</v>
      </c>
      <c r="F9" s="181">
        <v>4951.0659299999998</v>
      </c>
      <c r="G9" s="181">
        <v>5636.5533850000002</v>
      </c>
      <c r="H9" s="181">
        <v>6067.0280760000005</v>
      </c>
      <c r="I9" s="181">
        <v>5541.5994810000002</v>
      </c>
      <c r="J9" s="181">
        <v>5583.5871299999999</v>
      </c>
      <c r="K9" s="181">
        <v>6299.3937880000003</v>
      </c>
      <c r="L9" s="164"/>
      <c r="M9" s="164"/>
      <c r="N9" s="164"/>
      <c r="O9" s="164"/>
    </row>
    <row r="10" spans="2:15" x14ac:dyDescent="0.25">
      <c r="B10" s="164">
        <v>7</v>
      </c>
      <c r="C10" s="148" t="s">
        <v>130</v>
      </c>
      <c r="D10" s="179">
        <v>25431.46068</v>
      </c>
      <c r="E10" s="179">
        <v>28171.105703999998</v>
      </c>
      <c r="F10" s="179">
        <v>31377.977918999997</v>
      </c>
      <c r="G10" s="179">
        <v>32343.971312000001</v>
      </c>
      <c r="H10" s="179">
        <v>36717.153451999999</v>
      </c>
      <c r="I10" s="179">
        <v>37571.885741999999</v>
      </c>
      <c r="J10" s="179">
        <v>38408.761173000006</v>
      </c>
      <c r="K10" s="179">
        <v>38374.571479999999</v>
      </c>
      <c r="L10" s="164"/>
      <c r="M10" s="164"/>
      <c r="N10" s="164"/>
      <c r="O10" s="164"/>
    </row>
    <row r="11" spans="2:15" x14ac:dyDescent="0.25">
      <c r="B11" s="164">
        <v>8</v>
      </c>
      <c r="C11" s="148" t="s">
        <v>12</v>
      </c>
      <c r="D11" s="150">
        <v>25456.351699999999</v>
      </c>
      <c r="E11" s="150">
        <v>37220.548924000002</v>
      </c>
      <c r="F11" s="150">
        <v>37357.116883000002</v>
      </c>
      <c r="G11" s="150">
        <v>36755.572607999995</v>
      </c>
      <c r="H11" s="150">
        <v>39885.232175999998</v>
      </c>
      <c r="I11" s="150">
        <v>57176.369585999993</v>
      </c>
      <c r="J11" s="150">
        <v>42538.25937</v>
      </c>
      <c r="K11" s="150">
        <v>41873.879838000001</v>
      </c>
      <c r="L11" s="164"/>
      <c r="M11" s="164"/>
      <c r="N11" s="164"/>
      <c r="O11" s="164"/>
    </row>
    <row r="12" spans="2:15" x14ac:dyDescent="0.25">
      <c r="B12" s="164">
        <v>9</v>
      </c>
      <c r="C12" s="148" t="s">
        <v>11</v>
      </c>
      <c r="D12" s="179">
        <v>21848.630776000002</v>
      </c>
      <c r="E12" s="179">
        <v>20403.187392</v>
      </c>
      <c r="F12" s="179">
        <v>21914.189328</v>
      </c>
      <c r="G12" s="179">
        <v>28325.912527999997</v>
      </c>
      <c r="H12" s="179">
        <v>32306.595859999998</v>
      </c>
      <c r="I12" s="179">
        <v>34983.947706999999</v>
      </c>
      <c r="J12" s="179">
        <v>37658.544503999998</v>
      </c>
      <c r="K12" s="179">
        <v>33500.878991999998</v>
      </c>
      <c r="L12" s="164"/>
      <c r="M12" s="164"/>
      <c r="N12" s="164"/>
      <c r="O12" s="164"/>
    </row>
    <row r="13" spans="2:15" ht="42" x14ac:dyDescent="0.25">
      <c r="B13" s="164">
        <v>10</v>
      </c>
      <c r="C13" s="148" t="s">
        <v>137</v>
      </c>
      <c r="D13" s="177" t="s">
        <v>67</v>
      </c>
      <c r="E13" s="179">
        <v>8826</v>
      </c>
      <c r="F13" s="179">
        <v>9210</v>
      </c>
      <c r="G13" s="180">
        <v>10169</v>
      </c>
      <c r="H13" s="181">
        <v>10494</v>
      </c>
      <c r="I13" s="187"/>
      <c r="J13" s="178"/>
      <c r="K13" s="179">
        <v>11497</v>
      </c>
      <c r="L13" s="164"/>
      <c r="M13" s="165" t="s">
        <v>181</v>
      </c>
      <c r="N13" s="164"/>
      <c r="O13" s="164"/>
    </row>
    <row r="14" spans="2:15" ht="25.5" x14ac:dyDescent="0.25">
      <c r="B14" s="164">
        <v>11</v>
      </c>
      <c r="C14" s="148" t="s">
        <v>140</v>
      </c>
      <c r="D14" s="179">
        <v>3013.0325520000001</v>
      </c>
      <c r="E14" s="179">
        <v>3599.9330920000002</v>
      </c>
      <c r="F14" s="179">
        <v>9009.304134</v>
      </c>
      <c r="G14" s="179">
        <v>11213.036832</v>
      </c>
      <c r="H14" s="179">
        <v>11835.337052000001</v>
      </c>
      <c r="I14" s="179">
        <v>10598.109627999998</v>
      </c>
      <c r="J14" s="179">
        <v>10389.010797999999</v>
      </c>
      <c r="K14" s="179">
        <v>8998.3155079999997</v>
      </c>
      <c r="L14" s="164"/>
      <c r="M14" s="164"/>
      <c r="N14" s="164"/>
      <c r="O14" s="164"/>
    </row>
    <row r="15" spans="2:15" x14ac:dyDescent="0.25">
      <c r="B15" s="164">
        <v>12</v>
      </c>
      <c r="C15" s="148" t="s">
        <v>142</v>
      </c>
      <c r="D15" s="179">
        <v>21561.550639999998</v>
      </c>
      <c r="E15" s="179">
        <v>22437.086363999999</v>
      </c>
      <c r="F15" s="179">
        <v>26173.564069</v>
      </c>
      <c r="G15" s="179">
        <v>28634.330352000001</v>
      </c>
      <c r="H15" s="179">
        <v>29617.314608000001</v>
      </c>
      <c r="I15" s="179">
        <v>35096.466752</v>
      </c>
      <c r="J15" s="179">
        <v>44321.090466000001</v>
      </c>
      <c r="K15" s="179">
        <v>48562.187156</v>
      </c>
      <c r="L15" s="164"/>
      <c r="M15" s="164"/>
      <c r="N15" s="164"/>
      <c r="O15" s="164"/>
    </row>
    <row r="16" spans="2:15" ht="54" x14ac:dyDescent="0.25">
      <c r="B16" s="164">
        <v>13</v>
      </c>
      <c r="C16" s="148" t="s">
        <v>145</v>
      </c>
      <c r="D16" s="177" t="s">
        <v>69</v>
      </c>
      <c r="E16" s="179">
        <v>2625</v>
      </c>
      <c r="F16" s="179">
        <v>2505</v>
      </c>
      <c r="G16" s="180">
        <v>2720</v>
      </c>
      <c r="H16" s="179">
        <v>2830</v>
      </c>
      <c r="I16" s="181"/>
      <c r="J16" s="178"/>
      <c r="K16" s="179">
        <v>5183</v>
      </c>
      <c r="L16" s="164"/>
      <c r="M16" s="167" t="s">
        <v>182</v>
      </c>
      <c r="N16" s="164"/>
      <c r="O16" s="164"/>
    </row>
    <row r="17" spans="2:15" x14ac:dyDescent="0.25">
      <c r="B17" s="164">
        <v>14</v>
      </c>
      <c r="C17" s="148" t="s">
        <v>54</v>
      </c>
      <c r="D17" s="150">
        <v>2632</v>
      </c>
      <c r="E17" s="182">
        <v>4863</v>
      </c>
      <c r="F17" s="182">
        <v>6150</v>
      </c>
      <c r="G17" s="182">
        <v>4169</v>
      </c>
      <c r="H17" s="183">
        <v>4973</v>
      </c>
      <c r="I17" s="188"/>
      <c r="J17" s="178"/>
      <c r="K17" s="31">
        <v>2757</v>
      </c>
      <c r="L17" s="164"/>
      <c r="M17" s="164"/>
      <c r="N17" s="164"/>
      <c r="O17" s="164"/>
    </row>
    <row r="18" spans="2:15" x14ac:dyDescent="0.25">
      <c r="B18" s="164">
        <v>15</v>
      </c>
      <c r="C18" s="151" t="s">
        <v>9</v>
      </c>
      <c r="D18" s="179">
        <v>7172.64048</v>
      </c>
      <c r="E18" s="179">
        <v>6754.3732480000008</v>
      </c>
      <c r="F18" s="179">
        <v>7927.1982840000001</v>
      </c>
      <c r="G18" s="179">
        <v>9766.9238879999994</v>
      </c>
      <c r="H18" s="179">
        <v>9269.896804</v>
      </c>
      <c r="I18" s="179">
        <v>2022.9739880000002</v>
      </c>
      <c r="J18" s="179">
        <v>6873.7468549999994</v>
      </c>
      <c r="K18" s="179">
        <v>1029.4625600000002</v>
      </c>
      <c r="L18" s="164"/>
      <c r="M18" s="164"/>
      <c r="N18" s="164"/>
      <c r="O18" s="164"/>
    </row>
    <row r="19" spans="2:15" x14ac:dyDescent="0.25">
      <c r="B19" s="164">
        <v>16</v>
      </c>
      <c r="C19" s="148" t="s">
        <v>151</v>
      </c>
      <c r="D19" s="177" t="s">
        <v>63</v>
      </c>
      <c r="E19" s="179">
        <v>17706</v>
      </c>
      <c r="F19" s="179">
        <v>17831</v>
      </c>
      <c r="G19" s="180">
        <v>18863</v>
      </c>
      <c r="H19" s="181">
        <v>16376</v>
      </c>
      <c r="I19" s="187"/>
      <c r="J19" s="182"/>
      <c r="K19" s="179">
        <v>21506</v>
      </c>
      <c r="L19" s="164"/>
      <c r="M19" s="166"/>
      <c r="N19" s="165"/>
      <c r="O19" s="164"/>
    </row>
    <row r="20" spans="2:15" x14ac:dyDescent="0.25">
      <c r="B20" s="164">
        <v>17</v>
      </c>
      <c r="C20" s="148" t="s">
        <v>153</v>
      </c>
      <c r="D20" s="181">
        <v>10388.700916</v>
      </c>
      <c r="E20" s="181">
        <v>10708.392159999999</v>
      </c>
      <c r="F20" s="181">
        <v>9388.6092850000005</v>
      </c>
      <c r="G20" s="181">
        <v>11654.538685000001</v>
      </c>
      <c r="H20" s="181">
        <v>12683.45671</v>
      </c>
      <c r="I20" s="181">
        <v>8925.0324359999995</v>
      </c>
      <c r="J20" s="181">
        <v>14724.312570000002</v>
      </c>
      <c r="K20" s="181">
        <v>13790.958316</v>
      </c>
      <c r="L20" s="164"/>
      <c r="M20" s="164"/>
      <c r="N20" s="164"/>
      <c r="O20" s="164"/>
    </row>
    <row r="21" spans="2:15" ht="25.5" x14ac:dyDescent="0.25">
      <c r="B21" s="164">
        <v>18</v>
      </c>
      <c r="C21" s="148" t="s">
        <v>55</v>
      </c>
      <c r="D21" s="181">
        <v>11305.684104</v>
      </c>
      <c r="E21" s="181">
        <v>11569.207359999999</v>
      </c>
      <c r="F21" s="181">
        <v>11704.201859999999</v>
      </c>
      <c r="G21" s="181">
        <v>13826.174901000002</v>
      </c>
      <c r="H21" s="181">
        <v>15645.042611999999</v>
      </c>
      <c r="I21" s="181">
        <v>19930.774160000001</v>
      </c>
      <c r="J21" s="181">
        <v>16643.545254000001</v>
      </c>
      <c r="K21" s="181">
        <v>18230.805027999999</v>
      </c>
      <c r="L21" s="164"/>
      <c r="M21" s="164"/>
      <c r="N21" s="164"/>
      <c r="O21" s="164"/>
    </row>
    <row r="22" spans="2:15" x14ac:dyDescent="0.25">
      <c r="B22" s="164">
        <v>19</v>
      </c>
      <c r="C22" s="148" t="s">
        <v>157</v>
      </c>
      <c r="D22" s="179">
        <v>21328.570712000004</v>
      </c>
      <c r="E22" s="179">
        <v>20665.814231999997</v>
      </c>
      <c r="F22" s="179">
        <v>21700.859888999999</v>
      </c>
      <c r="G22" s="179">
        <v>22341.959712</v>
      </c>
      <c r="H22" s="179">
        <v>21672.175700000003</v>
      </c>
      <c r="I22" s="179">
        <v>25116.619665999999</v>
      </c>
      <c r="J22" s="179">
        <v>31914.657641000002</v>
      </c>
      <c r="K22" s="179">
        <v>35596.377123999999</v>
      </c>
      <c r="L22" s="164"/>
      <c r="M22" s="164"/>
      <c r="N22" s="164"/>
      <c r="O22" s="164"/>
    </row>
    <row r="23" spans="2:15" x14ac:dyDescent="0.25">
      <c r="B23" s="164">
        <v>20</v>
      </c>
      <c r="C23" s="148" t="s">
        <v>3</v>
      </c>
      <c r="D23" s="179">
        <v>32722.772583999998</v>
      </c>
      <c r="E23" s="179">
        <v>30677.732987999996</v>
      </c>
      <c r="F23" s="179">
        <v>29889.824731000001</v>
      </c>
      <c r="G23" s="179">
        <v>35746.272832000002</v>
      </c>
      <c r="H23" s="179">
        <v>37321.588444000001</v>
      </c>
      <c r="I23" s="179">
        <v>42735.917701999999</v>
      </c>
      <c r="J23" s="179">
        <v>51754.584473000003</v>
      </c>
      <c r="K23" s="179">
        <v>51516.473791999997</v>
      </c>
      <c r="L23" s="164"/>
      <c r="M23" s="164"/>
      <c r="N23" s="164"/>
      <c r="O23" s="164"/>
    </row>
    <row r="24" spans="2:15" x14ac:dyDescent="0.25">
      <c r="B24" s="164">
        <v>21</v>
      </c>
      <c r="C24" s="151" t="s">
        <v>5</v>
      </c>
      <c r="D24" s="179">
        <v>2187.5680879999995</v>
      </c>
      <c r="E24" s="179">
        <v>1999.8547520000002</v>
      </c>
      <c r="F24" s="179">
        <v>3048.446766</v>
      </c>
      <c r="G24" s="179">
        <v>4184.1299200000003</v>
      </c>
      <c r="H24" s="179">
        <v>3294.8523999999998</v>
      </c>
      <c r="I24" s="179">
        <v>3793.6684330000003</v>
      </c>
      <c r="J24" s="179">
        <v>2982.7267220000003</v>
      </c>
      <c r="K24" s="179">
        <v>3005.7597639999999</v>
      </c>
      <c r="L24" s="164"/>
      <c r="M24" s="164"/>
      <c r="N24" s="164"/>
      <c r="O24" s="164"/>
    </row>
    <row r="25" spans="2:15" x14ac:dyDescent="0.25">
      <c r="B25" s="164">
        <v>22</v>
      </c>
      <c r="C25" s="148" t="s">
        <v>6</v>
      </c>
      <c r="D25" s="179">
        <v>199890.670136</v>
      </c>
      <c r="E25" s="179">
        <v>321637.14556400001</v>
      </c>
      <c r="F25" s="179">
        <v>314076.58536599996</v>
      </c>
      <c r="G25" s="179">
        <v>307217.58260800003</v>
      </c>
      <c r="H25" s="179">
        <v>302849.19873599993</v>
      </c>
      <c r="I25" s="179">
        <v>318896.739695</v>
      </c>
      <c r="J25" s="179">
        <v>349818.64720200002</v>
      </c>
      <c r="K25" s="179">
        <v>470429.17146400001</v>
      </c>
      <c r="L25" s="164"/>
      <c r="M25" s="164"/>
      <c r="N25" s="164"/>
      <c r="O25" s="164"/>
    </row>
    <row r="26" spans="2:15" x14ac:dyDescent="0.25">
      <c r="B26" s="164">
        <v>23</v>
      </c>
      <c r="C26" s="148" t="s">
        <v>52</v>
      </c>
      <c r="D26" s="189">
        <v>33904.839716000002</v>
      </c>
      <c r="E26" s="189">
        <v>33374.061143999999</v>
      </c>
      <c r="F26" s="186">
        <v>30846</v>
      </c>
      <c r="G26" s="186">
        <v>36619</v>
      </c>
      <c r="H26" s="186">
        <v>40181</v>
      </c>
      <c r="I26" s="186">
        <v>41960</v>
      </c>
      <c r="J26" s="186">
        <v>43145</v>
      </c>
      <c r="K26" s="186">
        <v>47553</v>
      </c>
      <c r="L26" s="164"/>
      <c r="M26" s="164"/>
      <c r="N26" s="164"/>
      <c r="O26" s="164"/>
    </row>
    <row r="27" spans="2:15" x14ac:dyDescent="0.25">
      <c r="B27" s="164">
        <v>24</v>
      </c>
      <c r="C27" s="148" t="s">
        <v>168</v>
      </c>
      <c r="D27" s="179">
        <v>29629.462304000001</v>
      </c>
      <c r="E27" s="179">
        <v>38970.904980000007</v>
      </c>
      <c r="F27" s="179">
        <v>45488.638202999995</v>
      </c>
      <c r="G27" s="179">
        <v>40898.791583999999</v>
      </c>
      <c r="H27" s="179">
        <v>45982.505632</v>
      </c>
      <c r="I27" s="179">
        <v>50997.184427</v>
      </c>
      <c r="J27" s="179">
        <v>50260.629689999994</v>
      </c>
      <c r="K27" s="179">
        <v>46535.771379999998</v>
      </c>
      <c r="L27" s="164"/>
      <c r="M27" s="164"/>
      <c r="N27" s="164"/>
      <c r="O27" s="164"/>
    </row>
    <row r="28" spans="2:15" x14ac:dyDescent="0.25">
      <c r="B28" s="164">
        <v>25</v>
      </c>
      <c r="C28" s="148" t="s">
        <v>70</v>
      </c>
      <c r="D28" s="177" t="s">
        <v>71</v>
      </c>
      <c r="E28" s="179">
        <v>4296</v>
      </c>
      <c r="F28" s="179">
        <v>4290</v>
      </c>
      <c r="G28" s="180">
        <v>4707</v>
      </c>
      <c r="H28" s="179">
        <v>4031</v>
      </c>
      <c r="I28" s="179"/>
      <c r="J28" s="178"/>
      <c r="K28" s="179">
        <v>2241</v>
      </c>
      <c r="L28" s="164"/>
      <c r="M28" s="164"/>
      <c r="N28" s="164"/>
      <c r="O28" s="164"/>
    </row>
    <row r="29" spans="2:15" x14ac:dyDescent="0.25">
      <c r="B29" s="164">
        <v>26</v>
      </c>
      <c r="C29" s="148" t="s">
        <v>173</v>
      </c>
      <c r="D29" s="177" t="s">
        <v>65</v>
      </c>
      <c r="E29" s="179">
        <v>4104</v>
      </c>
      <c r="F29" s="179">
        <v>4168</v>
      </c>
      <c r="G29" s="180">
        <v>4403</v>
      </c>
      <c r="H29" s="181">
        <v>4359</v>
      </c>
      <c r="I29" s="181"/>
      <c r="J29" s="178"/>
      <c r="K29" s="179">
        <v>6815</v>
      </c>
      <c r="L29" s="164"/>
      <c r="M29" s="164"/>
      <c r="N29" s="164"/>
      <c r="O29" s="164"/>
    </row>
    <row r="30" spans="2:15" x14ac:dyDescent="0.25">
      <c r="B30" s="164">
        <v>27</v>
      </c>
      <c r="C30" s="148" t="s">
        <v>8</v>
      </c>
      <c r="D30" s="181">
        <v>1429.4</v>
      </c>
      <c r="E30" s="184">
        <v>1363.5</v>
      </c>
      <c r="F30" s="181">
        <v>1275.5999999999999</v>
      </c>
      <c r="G30" s="181">
        <v>1466.1</v>
      </c>
      <c r="H30" s="181">
        <v>1696.1</v>
      </c>
      <c r="I30" s="185">
        <v>2077</v>
      </c>
      <c r="J30" s="185">
        <v>2351.3000000000002</v>
      </c>
      <c r="K30" s="185">
        <v>2157.5</v>
      </c>
      <c r="L30" s="164"/>
      <c r="M30" s="164"/>
      <c r="N30" s="164"/>
      <c r="O30" s="164"/>
    </row>
    <row r="31" spans="2:15" x14ac:dyDescent="0.25">
      <c r="B31" s="164"/>
      <c r="C31" s="164"/>
      <c r="D31" s="164"/>
      <c r="E31" s="164"/>
      <c r="F31" s="164"/>
      <c r="G31" s="164"/>
      <c r="H31" s="164"/>
      <c r="I31" s="164"/>
      <c r="J31" s="164"/>
      <c r="K31" s="168"/>
      <c r="L31" s="168"/>
      <c r="M31" s="168"/>
      <c r="N31" s="168"/>
      <c r="O31" s="164"/>
    </row>
    <row r="32" spans="2:15" x14ac:dyDescent="0.25">
      <c r="B32" s="164"/>
      <c r="C32" s="152"/>
      <c r="D32" s="169"/>
      <c r="E32" s="170"/>
      <c r="F32" s="169"/>
      <c r="G32" s="170"/>
      <c r="H32" s="169"/>
      <c r="I32" s="171"/>
      <c r="J32" s="172"/>
      <c r="K32" s="153"/>
      <c r="L32" s="164"/>
      <c r="M32" s="164"/>
      <c r="N32" s="164"/>
      <c r="O32" s="164"/>
    </row>
    <row r="33" spans="2:15" ht="30" x14ac:dyDescent="0.25">
      <c r="B33" s="164" t="s">
        <v>183</v>
      </c>
      <c r="C33" s="154" t="s">
        <v>184</v>
      </c>
      <c r="D33" s="155">
        <v>2015</v>
      </c>
      <c r="E33" s="155">
        <v>2016</v>
      </c>
      <c r="F33" s="155">
        <v>2017</v>
      </c>
      <c r="G33" s="155">
        <v>2018</v>
      </c>
      <c r="H33" s="155">
        <v>2019</v>
      </c>
      <c r="I33" s="155">
        <v>2020</v>
      </c>
      <c r="J33" s="155">
        <v>2021</v>
      </c>
      <c r="K33" s="155">
        <v>2022</v>
      </c>
      <c r="L33" s="164"/>
      <c r="M33" s="164"/>
      <c r="N33" s="164"/>
      <c r="O33" s="164"/>
    </row>
    <row r="34" spans="2:15" ht="25.5" x14ac:dyDescent="0.25">
      <c r="B34" s="164">
        <v>1</v>
      </c>
      <c r="C34" s="156" t="s">
        <v>116</v>
      </c>
      <c r="D34" s="45">
        <v>171034</v>
      </c>
      <c r="E34" s="45">
        <v>187331</v>
      </c>
      <c r="F34" s="45">
        <v>177795</v>
      </c>
      <c r="G34" s="45">
        <v>208887</v>
      </c>
      <c r="H34" s="45">
        <v>157120</v>
      </c>
      <c r="I34" s="45">
        <v>284027</v>
      </c>
      <c r="J34" s="45">
        <v>293346</v>
      </c>
      <c r="K34" s="45">
        <v>293346</v>
      </c>
      <c r="L34" s="173"/>
      <c r="M34" s="173"/>
      <c r="N34" s="173"/>
      <c r="O34" s="129" t="s">
        <v>185</v>
      </c>
    </row>
    <row r="35" spans="2:15" ht="25.5" x14ac:dyDescent="0.25">
      <c r="B35" s="164">
        <v>2</v>
      </c>
      <c r="C35" s="157" t="s">
        <v>118</v>
      </c>
      <c r="D35" s="45">
        <v>9277</v>
      </c>
      <c r="E35" s="45">
        <v>10631</v>
      </c>
      <c r="F35" s="45">
        <v>12015</v>
      </c>
      <c r="G35" s="45">
        <v>12881</v>
      </c>
      <c r="H35" s="45">
        <v>21791</v>
      </c>
      <c r="I35" s="45">
        <v>13865</v>
      </c>
      <c r="J35" s="45">
        <v>21982</v>
      </c>
      <c r="K35" s="45">
        <v>11279</v>
      </c>
      <c r="L35" s="173"/>
      <c r="M35" s="173"/>
      <c r="N35" s="164"/>
      <c r="O35" s="129" t="s">
        <v>186</v>
      </c>
    </row>
    <row r="36" spans="2:15" x14ac:dyDescent="0.25">
      <c r="B36" s="164">
        <v>3</v>
      </c>
      <c r="C36" s="156" t="s">
        <v>58</v>
      </c>
      <c r="D36" s="45">
        <v>999</v>
      </c>
      <c r="E36" s="45">
        <v>1108</v>
      </c>
      <c r="F36" s="45">
        <v>812</v>
      </c>
      <c r="G36" s="45">
        <v>721</v>
      </c>
      <c r="H36" s="45">
        <v>1268</v>
      </c>
      <c r="I36" s="45">
        <v>2046</v>
      </c>
      <c r="J36" s="45">
        <v>3980</v>
      </c>
      <c r="K36" s="45">
        <v>6233</v>
      </c>
      <c r="L36" s="173"/>
      <c r="M36" s="173"/>
      <c r="N36" s="164"/>
      <c r="O36" s="129" t="s">
        <v>187</v>
      </c>
    </row>
    <row r="37" spans="2:15" x14ac:dyDescent="0.25">
      <c r="B37" s="164">
        <v>4</v>
      </c>
      <c r="C37" s="156" t="s">
        <v>60</v>
      </c>
      <c r="D37" s="45"/>
      <c r="E37" s="45"/>
      <c r="F37" s="45"/>
      <c r="G37" s="45"/>
      <c r="H37" s="45"/>
      <c r="I37" s="45"/>
      <c r="J37" s="45"/>
      <c r="K37" s="45"/>
      <c r="L37" s="173"/>
      <c r="M37" s="173"/>
      <c r="N37" s="164"/>
      <c r="O37" s="129"/>
    </row>
    <row r="38" spans="2:15" x14ac:dyDescent="0.25">
      <c r="B38" s="164">
        <v>5</v>
      </c>
      <c r="C38" s="156" t="s">
        <v>125</v>
      </c>
      <c r="D38" s="45">
        <v>16586</v>
      </c>
      <c r="E38" s="45">
        <v>23073</v>
      </c>
      <c r="F38" s="45">
        <v>25625</v>
      </c>
      <c r="G38" s="45">
        <v>22522</v>
      </c>
      <c r="H38" s="45">
        <v>28609</v>
      </c>
      <c r="I38" s="45">
        <v>30575</v>
      </c>
      <c r="J38" s="45">
        <v>39778</v>
      </c>
      <c r="K38" s="45">
        <v>52929</v>
      </c>
      <c r="L38" s="173"/>
      <c r="M38" s="173"/>
      <c r="N38" s="164"/>
      <c r="O38" s="129" t="s">
        <v>125</v>
      </c>
    </row>
    <row r="39" spans="2:15" x14ac:dyDescent="0.25">
      <c r="B39" s="164">
        <v>6</v>
      </c>
      <c r="C39" s="156" t="s">
        <v>128</v>
      </c>
      <c r="D39" s="45">
        <v>0</v>
      </c>
      <c r="E39" s="45">
        <v>465</v>
      </c>
      <c r="F39" s="45">
        <v>1016</v>
      </c>
      <c r="G39" s="45">
        <v>1212</v>
      </c>
      <c r="H39" s="45">
        <v>6088</v>
      </c>
      <c r="I39" s="45">
        <v>1677</v>
      </c>
      <c r="J39" s="45">
        <v>2156</v>
      </c>
      <c r="K39" s="45">
        <v>3840</v>
      </c>
      <c r="L39" s="173"/>
      <c r="M39" s="173"/>
      <c r="N39" s="164"/>
      <c r="O39" s="129" t="s">
        <v>15</v>
      </c>
    </row>
    <row r="40" spans="2:15" ht="25.5" x14ac:dyDescent="0.25">
      <c r="B40" s="164">
        <v>7</v>
      </c>
      <c r="C40" s="156" t="s">
        <v>130</v>
      </c>
      <c r="D40" s="45">
        <v>38968</v>
      </c>
      <c r="E40" s="45">
        <v>33412</v>
      </c>
      <c r="F40" s="45">
        <v>34666</v>
      </c>
      <c r="G40" s="45">
        <v>38834</v>
      </c>
      <c r="H40" s="45">
        <v>44253</v>
      </c>
      <c r="I40" s="45">
        <v>21846</v>
      </c>
      <c r="J40" s="45">
        <v>43604</v>
      </c>
      <c r="K40" s="45">
        <v>37303</v>
      </c>
      <c r="L40" s="173"/>
      <c r="M40" s="173"/>
      <c r="N40" s="164"/>
      <c r="O40" s="129" t="s">
        <v>13</v>
      </c>
    </row>
    <row r="41" spans="2:15" x14ac:dyDescent="0.25">
      <c r="B41" s="164">
        <v>8</v>
      </c>
      <c r="C41" s="156" t="s">
        <v>12</v>
      </c>
      <c r="D41" s="45">
        <v>3226</v>
      </c>
      <c r="E41" s="45">
        <v>1630</v>
      </c>
      <c r="F41" s="45">
        <v>1601</v>
      </c>
      <c r="G41" s="45">
        <v>2130</v>
      </c>
      <c r="H41" s="45">
        <v>1250</v>
      </c>
      <c r="I41" s="45">
        <v>1316</v>
      </c>
      <c r="J41" s="45">
        <v>759</v>
      </c>
      <c r="K41" s="45">
        <v>5157</v>
      </c>
      <c r="L41" s="173"/>
      <c r="M41" s="173"/>
      <c r="N41" s="164"/>
      <c r="O41" s="129" t="s">
        <v>12</v>
      </c>
    </row>
    <row r="42" spans="2:15" x14ac:dyDescent="0.25">
      <c r="B42" s="164">
        <v>9</v>
      </c>
      <c r="C42" s="156" t="s">
        <v>11</v>
      </c>
      <c r="D42" s="45">
        <v>26921</v>
      </c>
      <c r="E42" s="45">
        <v>23666</v>
      </c>
      <c r="F42" s="45">
        <v>27166</v>
      </c>
      <c r="G42" s="45">
        <v>26171</v>
      </c>
      <c r="H42" s="45">
        <v>32857</v>
      </c>
      <c r="I42" s="45">
        <v>35764</v>
      </c>
      <c r="J42" s="45">
        <v>61958</v>
      </c>
      <c r="K42" s="45">
        <v>72182</v>
      </c>
      <c r="L42" s="173"/>
      <c r="M42" s="173"/>
      <c r="N42" s="164"/>
      <c r="O42" s="129" t="s">
        <v>11</v>
      </c>
    </row>
    <row r="43" spans="2:15" ht="25.5" x14ac:dyDescent="0.25">
      <c r="B43" s="164">
        <v>10</v>
      </c>
      <c r="C43" s="156" t="s">
        <v>137</v>
      </c>
      <c r="D43" s="45"/>
      <c r="E43" s="45"/>
      <c r="F43" s="45"/>
      <c r="G43" s="45"/>
      <c r="H43" s="45"/>
      <c r="I43" s="45"/>
      <c r="J43" s="45"/>
      <c r="K43" s="45"/>
      <c r="L43" s="173"/>
      <c r="M43" s="173"/>
      <c r="N43" s="164"/>
      <c r="O43" s="129"/>
    </row>
    <row r="44" spans="2:15" ht="25.5" x14ac:dyDescent="0.25">
      <c r="B44" s="164">
        <v>11</v>
      </c>
      <c r="C44" s="156" t="s">
        <v>140</v>
      </c>
      <c r="D44" s="45">
        <v>1308</v>
      </c>
      <c r="E44" s="45">
        <v>6836</v>
      </c>
      <c r="F44" s="45">
        <v>1687</v>
      </c>
      <c r="G44" s="45">
        <v>1283</v>
      </c>
      <c r="H44" s="45">
        <v>1140</v>
      </c>
      <c r="I44" s="45">
        <v>1146</v>
      </c>
      <c r="J44" s="45">
        <v>1442</v>
      </c>
      <c r="K44" s="45">
        <v>1756</v>
      </c>
      <c r="L44" s="173"/>
      <c r="M44" s="173"/>
      <c r="N44" s="164"/>
      <c r="O44" s="129" t="s">
        <v>14</v>
      </c>
    </row>
    <row r="45" spans="2:15" x14ac:dyDescent="0.25">
      <c r="B45" s="164">
        <v>12</v>
      </c>
      <c r="C45" s="156" t="s">
        <v>142</v>
      </c>
      <c r="D45" s="45">
        <v>65134</v>
      </c>
      <c r="E45" s="45">
        <v>68930</v>
      </c>
      <c r="F45" s="45">
        <v>70370</v>
      </c>
      <c r="G45" s="45">
        <v>96743</v>
      </c>
      <c r="H45" s="45">
        <v>92805</v>
      </c>
      <c r="I45" s="45">
        <v>69088</v>
      </c>
      <c r="J45" s="45">
        <v>101868</v>
      </c>
      <c r="K45" s="45">
        <v>105001</v>
      </c>
      <c r="L45" s="173"/>
      <c r="M45" s="173"/>
      <c r="N45" s="164"/>
      <c r="O45" s="129" t="s">
        <v>10</v>
      </c>
    </row>
    <row r="46" spans="2:15" ht="25.5" x14ac:dyDescent="0.25">
      <c r="B46" s="164">
        <v>13</v>
      </c>
      <c r="C46" s="156" t="s">
        <v>145</v>
      </c>
      <c r="D46" s="45">
        <v>320</v>
      </c>
      <c r="E46" s="45">
        <v>37</v>
      </c>
      <c r="F46" s="45">
        <v>20</v>
      </c>
      <c r="G46" s="45">
        <v>22</v>
      </c>
      <c r="H46" s="45">
        <v>60</v>
      </c>
      <c r="I46" s="45">
        <v>293</v>
      </c>
      <c r="J46" s="45">
        <v>1707</v>
      </c>
      <c r="K46" s="45">
        <v>1302</v>
      </c>
      <c r="L46" s="173"/>
      <c r="M46" s="173"/>
      <c r="N46" s="164"/>
      <c r="O46" s="129" t="s">
        <v>68</v>
      </c>
    </row>
    <row r="47" spans="2:15" x14ac:dyDescent="0.25">
      <c r="B47" s="164">
        <v>14</v>
      </c>
      <c r="C47" s="156" t="s">
        <v>54</v>
      </c>
      <c r="D47" s="45"/>
      <c r="E47" s="45"/>
      <c r="F47" s="45"/>
      <c r="G47" s="45"/>
      <c r="H47" s="45"/>
      <c r="I47" s="45"/>
      <c r="J47" s="45"/>
      <c r="K47" s="45"/>
      <c r="L47" s="173"/>
      <c r="M47" s="173"/>
      <c r="N47" s="164"/>
      <c r="O47" s="129"/>
    </row>
    <row r="48" spans="2:15" x14ac:dyDescent="0.25">
      <c r="B48" s="164">
        <v>15</v>
      </c>
      <c r="C48" s="158" t="s">
        <v>9</v>
      </c>
      <c r="D48" s="45">
        <v>3156</v>
      </c>
      <c r="E48" s="45">
        <v>3526</v>
      </c>
      <c r="F48" s="45">
        <v>2207</v>
      </c>
      <c r="G48" s="45">
        <v>2852</v>
      </c>
      <c r="H48" s="45">
        <v>3945</v>
      </c>
      <c r="I48" s="45">
        <v>1068</v>
      </c>
      <c r="J48" s="45">
        <v>2487</v>
      </c>
      <c r="K48" s="45">
        <v>2153</v>
      </c>
      <c r="L48" s="173"/>
      <c r="M48" s="173"/>
      <c r="N48" s="164"/>
      <c r="O48" s="129" t="s">
        <v>9</v>
      </c>
    </row>
    <row r="49" spans="2:15" x14ac:dyDescent="0.25">
      <c r="B49" s="164">
        <v>16</v>
      </c>
      <c r="C49" s="156" t="s">
        <v>151</v>
      </c>
      <c r="D49" s="45">
        <v>37061</v>
      </c>
      <c r="E49" s="45">
        <v>45759</v>
      </c>
      <c r="F49" s="45">
        <v>36718</v>
      </c>
      <c r="G49" s="45">
        <v>40145</v>
      </c>
      <c r="H49" s="45">
        <v>50732</v>
      </c>
      <c r="I49" s="45"/>
      <c r="J49" s="45"/>
      <c r="K49" s="45">
        <v>51602</v>
      </c>
      <c r="L49" s="173"/>
      <c r="M49" s="173"/>
      <c r="N49" s="164"/>
      <c r="O49" s="129" t="s">
        <v>188</v>
      </c>
    </row>
    <row r="50" spans="2:15" x14ac:dyDescent="0.25">
      <c r="B50" s="164">
        <v>17</v>
      </c>
      <c r="C50" s="156" t="s">
        <v>153</v>
      </c>
      <c r="D50" s="45">
        <v>940</v>
      </c>
      <c r="E50" s="45">
        <v>660</v>
      </c>
      <c r="F50" s="45">
        <v>1262</v>
      </c>
      <c r="G50" s="45">
        <v>930</v>
      </c>
      <c r="H50" s="45">
        <v>2015</v>
      </c>
      <c r="I50" s="45">
        <v>4380</v>
      </c>
      <c r="J50" s="45">
        <v>8443</v>
      </c>
      <c r="K50" s="45">
        <v>11616</v>
      </c>
      <c r="L50" s="173"/>
      <c r="M50" s="173"/>
      <c r="N50" s="164"/>
      <c r="O50" s="129" t="s">
        <v>189</v>
      </c>
    </row>
    <row r="51" spans="2:15" ht="25.5" x14ac:dyDescent="0.25">
      <c r="B51" s="164">
        <v>18</v>
      </c>
      <c r="C51" s="156" t="s">
        <v>55</v>
      </c>
      <c r="D51" s="45">
        <v>0</v>
      </c>
      <c r="E51" s="45">
        <v>0</v>
      </c>
      <c r="F51" s="45">
        <v>0</v>
      </c>
      <c r="G51" s="45">
        <v>0</v>
      </c>
      <c r="H51" s="45">
        <v>3</v>
      </c>
      <c r="I51" s="45">
        <v>81</v>
      </c>
      <c r="J51" s="45">
        <v>81</v>
      </c>
      <c r="K51" s="45">
        <v>66</v>
      </c>
      <c r="L51" s="173"/>
      <c r="M51" s="173"/>
      <c r="N51" s="164"/>
      <c r="O51" s="129" t="s">
        <v>189</v>
      </c>
    </row>
    <row r="52" spans="2:15" x14ac:dyDescent="0.25">
      <c r="B52" s="164">
        <v>19</v>
      </c>
      <c r="C52" s="156" t="s">
        <v>157</v>
      </c>
      <c r="D52" s="45">
        <v>127924</v>
      </c>
      <c r="E52" s="45">
        <v>141273</v>
      </c>
      <c r="F52" s="45">
        <v>147638</v>
      </c>
      <c r="G52" s="45">
        <v>188594</v>
      </c>
      <c r="H52" s="45">
        <v>192549</v>
      </c>
      <c r="I52" s="45">
        <v>121909</v>
      </c>
      <c r="J52" s="45">
        <v>160837</v>
      </c>
      <c r="K52" s="45">
        <v>181105</v>
      </c>
      <c r="L52" s="173"/>
      <c r="M52" s="173"/>
      <c r="N52" s="164"/>
      <c r="O52" s="129" t="s">
        <v>4</v>
      </c>
    </row>
    <row r="53" spans="2:15" x14ac:dyDescent="0.25">
      <c r="B53" s="164">
        <v>20</v>
      </c>
      <c r="C53" s="156" t="s">
        <v>3</v>
      </c>
      <c r="D53" s="45">
        <v>65772</v>
      </c>
      <c r="E53" s="45">
        <v>77337</v>
      </c>
      <c r="F53" s="45">
        <v>69343</v>
      </c>
      <c r="G53" s="45">
        <v>67524</v>
      </c>
      <c r="H53" s="45">
        <v>76490</v>
      </c>
      <c r="I53" s="45">
        <v>55279</v>
      </c>
      <c r="J53" s="45">
        <v>105362</v>
      </c>
      <c r="K53" s="45">
        <v>133454</v>
      </c>
      <c r="L53" s="173"/>
      <c r="M53" s="173"/>
      <c r="N53" s="164"/>
      <c r="O53" s="129" t="s">
        <v>3</v>
      </c>
    </row>
    <row r="54" spans="2:15" x14ac:dyDescent="0.25">
      <c r="B54" s="164">
        <v>21</v>
      </c>
      <c r="C54" s="158" t="s">
        <v>5</v>
      </c>
      <c r="D54" s="45">
        <v>0</v>
      </c>
      <c r="E54" s="45">
        <v>0</v>
      </c>
      <c r="F54" s="45">
        <v>0</v>
      </c>
      <c r="G54" s="45">
        <v>3020</v>
      </c>
      <c r="H54" s="45">
        <v>180</v>
      </c>
      <c r="I54" s="45">
        <v>0</v>
      </c>
      <c r="J54" s="45">
        <v>0</v>
      </c>
      <c r="K54" s="45">
        <v>0</v>
      </c>
      <c r="L54" s="173"/>
      <c r="M54" s="173"/>
      <c r="N54" s="164"/>
      <c r="O54" s="129" t="s">
        <v>5</v>
      </c>
    </row>
    <row r="55" spans="2:15" x14ac:dyDescent="0.25">
      <c r="B55" s="164">
        <v>22</v>
      </c>
      <c r="C55" s="156" t="s">
        <v>6</v>
      </c>
      <c r="D55" s="45">
        <v>5103</v>
      </c>
      <c r="E55" s="45">
        <v>4635</v>
      </c>
      <c r="F55" s="45">
        <v>4315</v>
      </c>
      <c r="G55" s="45">
        <v>4637</v>
      </c>
      <c r="H55" s="45">
        <v>5057</v>
      </c>
      <c r="I55" s="45">
        <v>4250</v>
      </c>
      <c r="J55" s="45">
        <v>4998</v>
      </c>
      <c r="K55" s="45">
        <v>7615</v>
      </c>
      <c r="L55" s="173"/>
      <c r="M55" s="173"/>
      <c r="N55" s="164"/>
      <c r="O55" s="174" t="s">
        <v>6</v>
      </c>
    </row>
    <row r="56" spans="2:15" x14ac:dyDescent="0.25">
      <c r="B56" s="164">
        <v>23</v>
      </c>
      <c r="C56" s="156" t="s">
        <v>52</v>
      </c>
      <c r="D56" s="45">
        <v>4244</v>
      </c>
      <c r="E56" s="45">
        <v>4921</v>
      </c>
      <c r="F56" s="45">
        <v>3173</v>
      </c>
      <c r="G56" s="45">
        <v>3286</v>
      </c>
      <c r="H56" s="45">
        <v>3493</v>
      </c>
      <c r="I56" s="45">
        <v>2396</v>
      </c>
      <c r="J56" s="45">
        <v>5371</v>
      </c>
      <c r="K56" s="45">
        <v>7244</v>
      </c>
      <c r="L56" s="173"/>
      <c r="M56" s="173"/>
      <c r="N56" s="164"/>
      <c r="O56" s="129" t="s">
        <v>52</v>
      </c>
    </row>
    <row r="57" spans="2:15" ht="25.5" x14ac:dyDescent="0.25">
      <c r="B57" s="164">
        <v>24</v>
      </c>
      <c r="C57" s="156" t="s">
        <v>168</v>
      </c>
      <c r="D57" s="45">
        <v>16299</v>
      </c>
      <c r="E57" s="45">
        <v>20706</v>
      </c>
      <c r="F57" s="45">
        <v>19361</v>
      </c>
      <c r="G57" s="45">
        <v>22483</v>
      </c>
      <c r="H57" s="45">
        <v>20055</v>
      </c>
      <c r="I57" s="45">
        <v>21034</v>
      </c>
      <c r="J57" s="45">
        <v>35022</v>
      </c>
      <c r="K57" s="45">
        <v>53352</v>
      </c>
      <c r="L57" s="173"/>
      <c r="M57" s="173"/>
      <c r="N57" s="164"/>
      <c r="O57" s="129" t="s">
        <v>7</v>
      </c>
    </row>
    <row r="58" spans="2:15" s="38" customFormat="1" x14ac:dyDescent="0.25">
      <c r="B58" s="190">
        <v>25</v>
      </c>
      <c r="C58" s="156" t="s">
        <v>70</v>
      </c>
      <c r="D58" s="45">
        <v>30545</v>
      </c>
      <c r="E58" s="45">
        <v>30479</v>
      </c>
      <c r="F58" s="45">
        <v>31861</v>
      </c>
      <c r="G58" s="45">
        <v>35893</v>
      </c>
      <c r="H58" s="45">
        <v>37932</v>
      </c>
      <c r="I58" s="45"/>
      <c r="J58" s="45"/>
      <c r="K58" s="45">
        <v>41359</v>
      </c>
      <c r="L58" s="191"/>
      <c r="M58" s="191"/>
      <c r="N58" s="190"/>
      <c r="O58" s="192" t="s">
        <v>70</v>
      </c>
    </row>
    <row r="59" spans="2:15" s="38" customFormat="1" x14ac:dyDescent="0.25">
      <c r="B59" s="190">
        <v>26</v>
      </c>
      <c r="C59" s="156" t="s">
        <v>173</v>
      </c>
      <c r="D59" s="45">
        <v>2690</v>
      </c>
      <c r="E59" s="45">
        <v>8716</v>
      </c>
      <c r="F59" s="45">
        <v>15056</v>
      </c>
      <c r="G59" s="45">
        <v>16487</v>
      </c>
      <c r="H59" s="45">
        <v>18148</v>
      </c>
      <c r="I59" s="45"/>
      <c r="J59" s="45"/>
      <c r="K59" s="45">
        <v>19825</v>
      </c>
      <c r="L59" s="191"/>
      <c r="M59" s="191"/>
      <c r="N59" s="190"/>
      <c r="O59" s="195" t="s">
        <v>188</v>
      </c>
    </row>
    <row r="60" spans="2:15" x14ac:dyDescent="0.25">
      <c r="B60" s="164">
        <v>27</v>
      </c>
      <c r="C60" s="156" t="s">
        <v>8</v>
      </c>
      <c r="D60" s="45">
        <v>28318</v>
      </c>
      <c r="E60" s="45">
        <v>28455</v>
      </c>
      <c r="F60" s="45">
        <v>31431</v>
      </c>
      <c r="G60" s="45">
        <v>29168</v>
      </c>
      <c r="H60" s="45">
        <v>38805</v>
      </c>
      <c r="I60" s="45">
        <v>35529</v>
      </c>
      <c r="J60" s="45">
        <v>55873</v>
      </c>
      <c r="K60" s="45">
        <v>59306</v>
      </c>
      <c r="L60" s="173"/>
      <c r="M60" s="173"/>
      <c r="N60" s="164"/>
      <c r="O60" s="129" t="s">
        <v>8</v>
      </c>
    </row>
    <row r="61" spans="2:15" x14ac:dyDescent="0.25"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</row>
    <row r="62" spans="2:15" x14ac:dyDescent="0.25"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73"/>
    </row>
    <row r="63" spans="2:15" x14ac:dyDescent="0.25">
      <c r="B63" s="164"/>
      <c r="C63" s="159" t="s">
        <v>191</v>
      </c>
      <c r="D63" s="160">
        <v>2015</v>
      </c>
      <c r="E63" s="160">
        <v>2016</v>
      </c>
      <c r="F63" s="160">
        <v>2017</v>
      </c>
      <c r="G63" s="160">
        <v>2018</v>
      </c>
      <c r="H63" s="160">
        <v>2019</v>
      </c>
      <c r="I63" s="160">
        <v>2020</v>
      </c>
      <c r="J63" s="160">
        <v>2021</v>
      </c>
      <c r="K63" s="160">
        <v>2022</v>
      </c>
      <c r="L63" s="164"/>
      <c r="M63" s="164"/>
      <c r="N63" s="164"/>
      <c r="O63" s="164"/>
    </row>
    <row r="64" spans="2:15" x14ac:dyDescent="0.25">
      <c r="B64" s="164">
        <v>1</v>
      </c>
      <c r="C64" s="161" t="s">
        <v>116</v>
      </c>
      <c r="D64" s="74">
        <v>255009</v>
      </c>
      <c r="E64" s="74">
        <v>282695</v>
      </c>
      <c r="F64" s="74">
        <v>294557</v>
      </c>
      <c r="G64" s="73">
        <v>301185</v>
      </c>
      <c r="H64" s="73">
        <v>310780</v>
      </c>
      <c r="I64" s="90"/>
      <c r="J64" s="90"/>
      <c r="K64" s="74">
        <v>373335</v>
      </c>
      <c r="L64" s="175"/>
      <c r="M64" s="175"/>
      <c r="N64" s="164"/>
      <c r="O64" s="164"/>
    </row>
    <row r="65" spans="2:15" ht="25.5" x14ac:dyDescent="0.25">
      <c r="B65" s="164">
        <v>2</v>
      </c>
      <c r="C65" s="159" t="s">
        <v>118</v>
      </c>
      <c r="D65" s="74">
        <v>872584</v>
      </c>
      <c r="E65" s="96">
        <v>972692</v>
      </c>
      <c r="F65" s="96">
        <v>1030577</v>
      </c>
      <c r="G65" s="95">
        <v>1078384</v>
      </c>
      <c r="H65" s="89">
        <v>1136156</v>
      </c>
      <c r="I65" s="90"/>
      <c r="J65" s="90"/>
      <c r="K65" s="96">
        <v>1354556</v>
      </c>
      <c r="L65" s="164"/>
      <c r="M65" s="164"/>
      <c r="N65" s="164"/>
      <c r="O65" s="164"/>
    </row>
    <row r="66" spans="2:15" x14ac:dyDescent="0.25">
      <c r="B66" s="164">
        <v>3</v>
      </c>
      <c r="C66" s="161" t="s">
        <v>58</v>
      </c>
      <c r="D66" s="74">
        <v>872584</v>
      </c>
      <c r="E66" s="96">
        <v>972692</v>
      </c>
      <c r="F66" s="96">
        <v>1030577</v>
      </c>
      <c r="G66" s="95">
        <v>1078384</v>
      </c>
      <c r="H66" s="89">
        <v>1136156</v>
      </c>
      <c r="I66" s="90"/>
      <c r="J66" s="90"/>
      <c r="K66" s="96">
        <v>1354556</v>
      </c>
      <c r="L66" s="164"/>
      <c r="M66" s="164"/>
      <c r="N66" s="164"/>
      <c r="O66" s="164"/>
    </row>
    <row r="67" spans="2:15" x14ac:dyDescent="0.25">
      <c r="B67" s="164">
        <v>4</v>
      </c>
      <c r="C67" s="161" t="s">
        <v>60</v>
      </c>
      <c r="D67" s="74">
        <v>872584</v>
      </c>
      <c r="E67" s="96">
        <v>972692</v>
      </c>
      <c r="F67" s="96">
        <v>1030577</v>
      </c>
      <c r="G67" s="95">
        <v>1078384</v>
      </c>
      <c r="H67" s="89">
        <v>1136156</v>
      </c>
      <c r="I67" s="90"/>
      <c r="J67" s="90"/>
      <c r="K67" s="96">
        <v>1354556</v>
      </c>
      <c r="L67" s="164"/>
      <c r="M67" s="164"/>
      <c r="N67" s="164"/>
      <c r="O67" s="164"/>
    </row>
    <row r="68" spans="2:15" x14ac:dyDescent="0.25">
      <c r="B68" s="164">
        <v>5</v>
      </c>
      <c r="C68" s="161" t="s">
        <v>125</v>
      </c>
      <c r="D68" s="74">
        <v>872584</v>
      </c>
      <c r="E68" s="96">
        <v>972692</v>
      </c>
      <c r="F68" s="96">
        <v>1030577</v>
      </c>
      <c r="G68" s="95">
        <v>1078384</v>
      </c>
      <c r="H68" s="89">
        <v>1136156</v>
      </c>
      <c r="I68" s="90"/>
      <c r="J68" s="90"/>
      <c r="K68" s="96">
        <v>1354556</v>
      </c>
      <c r="L68" s="164"/>
      <c r="M68" s="164"/>
      <c r="N68" s="164"/>
      <c r="O68" s="164"/>
    </row>
    <row r="69" spans="2:15" x14ac:dyDescent="0.25">
      <c r="B69" s="164">
        <v>6</v>
      </c>
      <c r="C69" s="161" t="s">
        <v>128</v>
      </c>
      <c r="D69" s="36">
        <v>614062</v>
      </c>
      <c r="E69" s="36">
        <v>674332</v>
      </c>
      <c r="F69" s="36">
        <v>708307</v>
      </c>
      <c r="G69" s="36">
        <v>732115</v>
      </c>
      <c r="H69" s="36">
        <v>761998</v>
      </c>
      <c r="I69" s="90"/>
      <c r="J69" s="90"/>
      <c r="K69" s="36">
        <v>910054</v>
      </c>
      <c r="L69" s="164"/>
      <c r="M69" s="164"/>
      <c r="N69" s="164"/>
      <c r="O69" s="164"/>
    </row>
    <row r="70" spans="2:15" x14ac:dyDescent="0.25">
      <c r="B70" s="164">
        <v>7</v>
      </c>
      <c r="C70" s="161" t="s">
        <v>130</v>
      </c>
      <c r="D70" s="74">
        <v>872584</v>
      </c>
      <c r="E70" s="96">
        <v>972692</v>
      </c>
      <c r="F70" s="96">
        <v>1030577</v>
      </c>
      <c r="G70" s="95">
        <v>1078384</v>
      </c>
      <c r="H70" s="89">
        <v>1136156</v>
      </c>
      <c r="I70" s="90"/>
      <c r="J70" s="90"/>
      <c r="K70" s="96">
        <v>1354556</v>
      </c>
      <c r="L70" s="164"/>
      <c r="M70" s="164"/>
      <c r="N70" s="164"/>
      <c r="O70" s="164"/>
    </row>
    <row r="71" spans="2:15" x14ac:dyDescent="0.25">
      <c r="B71" s="164">
        <v>8</v>
      </c>
      <c r="C71" s="161" t="s">
        <v>12</v>
      </c>
      <c r="D71" s="74">
        <v>872584</v>
      </c>
      <c r="E71" s="96">
        <v>972692</v>
      </c>
      <c r="F71" s="96">
        <v>1030577</v>
      </c>
      <c r="G71" s="95">
        <v>1078384</v>
      </c>
      <c r="H71" s="89">
        <v>1136156</v>
      </c>
      <c r="I71" s="90"/>
      <c r="J71" s="90"/>
      <c r="K71" s="96">
        <v>1354556</v>
      </c>
      <c r="L71" s="164"/>
      <c r="M71" s="164"/>
      <c r="N71" s="164"/>
      <c r="O71" s="164"/>
    </row>
    <row r="72" spans="2:15" x14ac:dyDescent="0.25">
      <c r="B72" s="164">
        <v>9</v>
      </c>
      <c r="C72" s="161" t="s">
        <v>11</v>
      </c>
      <c r="D72" s="74">
        <v>872584</v>
      </c>
      <c r="E72" s="96">
        <v>972692</v>
      </c>
      <c r="F72" s="96">
        <v>1030577</v>
      </c>
      <c r="G72" s="95">
        <v>1078384</v>
      </c>
      <c r="H72" s="89">
        <v>1136156</v>
      </c>
      <c r="I72" s="90"/>
      <c r="J72" s="90"/>
      <c r="K72" s="96">
        <v>1354556</v>
      </c>
      <c r="L72" s="164"/>
      <c r="M72" s="164"/>
      <c r="N72" s="164"/>
      <c r="O72" s="164"/>
    </row>
    <row r="73" spans="2:15" ht="25.5" x14ac:dyDescent="0.25">
      <c r="B73" s="164">
        <v>10</v>
      </c>
      <c r="C73" s="161" t="s">
        <v>137</v>
      </c>
      <c r="D73" s="74">
        <v>872584</v>
      </c>
      <c r="E73" s="96">
        <v>972692</v>
      </c>
      <c r="F73" s="96">
        <v>1030577</v>
      </c>
      <c r="G73" s="95">
        <v>1078384</v>
      </c>
      <c r="H73" s="89">
        <v>1136156</v>
      </c>
      <c r="I73" s="90"/>
      <c r="J73" s="90"/>
      <c r="K73" s="96">
        <v>1354556</v>
      </c>
      <c r="L73" s="164"/>
      <c r="M73" s="164"/>
      <c r="N73" s="164"/>
      <c r="O73" s="164"/>
    </row>
    <row r="74" spans="2:15" ht="25.5" x14ac:dyDescent="0.25">
      <c r="B74" s="164">
        <v>11</v>
      </c>
      <c r="C74" s="161" t="s">
        <v>140</v>
      </c>
      <c r="D74" s="74">
        <v>872584</v>
      </c>
      <c r="E74" s="96">
        <v>972692</v>
      </c>
      <c r="F74" s="96">
        <v>1030577</v>
      </c>
      <c r="G74" s="95">
        <v>1078384</v>
      </c>
      <c r="H74" s="89">
        <v>1136156</v>
      </c>
      <c r="I74" s="90"/>
      <c r="J74" s="90"/>
      <c r="K74" s="96">
        <v>1354556</v>
      </c>
      <c r="L74" s="164"/>
      <c r="M74" s="164"/>
      <c r="N74" s="164"/>
      <c r="O74" s="164"/>
    </row>
    <row r="75" spans="2:15" x14ac:dyDescent="0.25">
      <c r="B75" s="164">
        <v>12</v>
      </c>
      <c r="C75" s="161" t="s">
        <v>142</v>
      </c>
      <c r="D75" s="74">
        <v>872584</v>
      </c>
      <c r="E75" s="96">
        <v>972692</v>
      </c>
      <c r="F75" s="96">
        <v>1030577</v>
      </c>
      <c r="G75" s="95">
        <v>1078384</v>
      </c>
      <c r="H75" s="89">
        <v>1136156</v>
      </c>
      <c r="I75" s="90"/>
      <c r="J75" s="90"/>
      <c r="K75" s="96">
        <v>1354556</v>
      </c>
      <c r="L75" s="164"/>
      <c r="M75" s="164"/>
      <c r="N75" s="164"/>
      <c r="O75" s="164"/>
    </row>
    <row r="76" spans="2:15" ht="25.5" x14ac:dyDescent="0.25">
      <c r="B76" s="164">
        <v>13</v>
      </c>
      <c r="C76" s="161" t="s">
        <v>145</v>
      </c>
      <c r="D76" s="74">
        <v>872584</v>
      </c>
      <c r="E76" s="96">
        <v>972692</v>
      </c>
      <c r="F76" s="96">
        <v>1030577</v>
      </c>
      <c r="G76" s="95">
        <v>1078384</v>
      </c>
      <c r="H76" s="89">
        <v>1136156</v>
      </c>
      <c r="I76" s="90"/>
      <c r="J76" s="90"/>
      <c r="K76" s="96">
        <v>1354556</v>
      </c>
      <c r="L76" s="164"/>
      <c r="M76" s="164"/>
      <c r="N76" s="164"/>
      <c r="O76" s="164"/>
    </row>
    <row r="77" spans="2:15" x14ac:dyDescent="0.25">
      <c r="B77" s="164">
        <v>14</v>
      </c>
      <c r="C77" s="161" t="s">
        <v>54</v>
      </c>
      <c r="D77" s="37">
        <v>25840</v>
      </c>
      <c r="E77" s="37">
        <v>28868</v>
      </c>
      <c r="F77" s="37">
        <v>28318</v>
      </c>
      <c r="G77" s="196">
        <v>29124</v>
      </c>
      <c r="H77" s="197">
        <v>28744</v>
      </c>
      <c r="I77" s="90"/>
      <c r="J77" s="90"/>
      <c r="K77" s="37">
        <v>30161</v>
      </c>
      <c r="L77" s="164"/>
      <c r="M77" s="164"/>
      <c r="N77" s="164"/>
      <c r="O77" s="164"/>
    </row>
    <row r="78" spans="2:15" x14ac:dyDescent="0.25">
      <c r="B78" s="164">
        <v>15</v>
      </c>
      <c r="C78" s="162" t="s">
        <v>9</v>
      </c>
      <c r="D78" s="74">
        <v>872584</v>
      </c>
      <c r="E78" s="96">
        <v>972692</v>
      </c>
      <c r="F78" s="96">
        <v>1030577</v>
      </c>
      <c r="G78" s="95">
        <v>1078384</v>
      </c>
      <c r="H78" s="89">
        <v>1136156</v>
      </c>
      <c r="I78" s="90"/>
      <c r="J78" s="90"/>
      <c r="K78" s="96">
        <v>1354556</v>
      </c>
      <c r="L78" s="164"/>
      <c r="M78" s="164"/>
      <c r="N78" s="164"/>
      <c r="O78" s="164"/>
    </row>
    <row r="79" spans="2:15" x14ac:dyDescent="0.25">
      <c r="B79" s="164">
        <v>16</v>
      </c>
      <c r="C79" s="161" t="s">
        <v>151</v>
      </c>
      <c r="D79" s="36">
        <v>614062</v>
      </c>
      <c r="E79" s="36">
        <v>674332</v>
      </c>
      <c r="F79" s="36">
        <v>708307</v>
      </c>
      <c r="G79" s="36">
        <v>732115</v>
      </c>
      <c r="H79" s="36">
        <v>761998</v>
      </c>
      <c r="I79" s="90"/>
      <c r="J79" s="90"/>
      <c r="K79" s="36">
        <v>910054</v>
      </c>
      <c r="L79" s="164"/>
      <c r="M79" s="164"/>
      <c r="N79" s="164"/>
      <c r="O79" s="164"/>
    </row>
    <row r="80" spans="2:15" x14ac:dyDescent="0.25">
      <c r="B80" s="164">
        <v>17</v>
      </c>
      <c r="C80" s="161" t="s">
        <v>153</v>
      </c>
      <c r="D80" s="36">
        <v>614062</v>
      </c>
      <c r="E80" s="36">
        <v>674332</v>
      </c>
      <c r="F80" s="36">
        <v>708307</v>
      </c>
      <c r="G80" s="36">
        <v>732115</v>
      </c>
      <c r="H80" s="36">
        <v>761998</v>
      </c>
      <c r="I80" s="90"/>
      <c r="J80" s="90"/>
      <c r="K80" s="36">
        <v>910054</v>
      </c>
      <c r="L80" s="164"/>
      <c r="M80" s="164"/>
      <c r="N80" s="164"/>
      <c r="O80" s="164"/>
    </row>
    <row r="81" spans="2:15" ht="25.5" x14ac:dyDescent="0.25">
      <c r="B81" s="164">
        <v>18</v>
      </c>
      <c r="C81" s="161" t="s">
        <v>55</v>
      </c>
      <c r="D81" s="96">
        <v>258522</v>
      </c>
      <c r="E81" s="96">
        <v>298360</v>
      </c>
      <c r="F81" s="96">
        <v>322270</v>
      </c>
      <c r="G81" s="95">
        <v>346269</v>
      </c>
      <c r="H81" s="89">
        <v>374158</v>
      </c>
      <c r="I81" s="90"/>
      <c r="J81" s="90"/>
      <c r="K81" s="90">
        <v>444502</v>
      </c>
      <c r="L81" s="164"/>
      <c r="M81" s="164"/>
      <c r="N81" s="164"/>
      <c r="O81" s="164"/>
    </row>
    <row r="82" spans="2:15" x14ac:dyDescent="0.25">
      <c r="B82" s="164">
        <v>19</v>
      </c>
      <c r="C82" s="161" t="s">
        <v>157</v>
      </c>
      <c r="D82" s="74">
        <v>872584</v>
      </c>
      <c r="E82" s="96">
        <v>972692</v>
      </c>
      <c r="F82" s="96">
        <v>1030577</v>
      </c>
      <c r="G82" s="95">
        <v>1078384</v>
      </c>
      <c r="H82" s="89">
        <v>1136156</v>
      </c>
      <c r="I82" s="90"/>
      <c r="J82" s="90"/>
      <c r="K82" s="96">
        <v>1354556</v>
      </c>
      <c r="L82" s="164"/>
      <c r="M82" s="164"/>
      <c r="N82" s="164"/>
      <c r="O82" s="164"/>
    </row>
    <row r="83" spans="2:15" x14ac:dyDescent="0.25">
      <c r="B83" s="164">
        <v>20</v>
      </c>
      <c r="C83" s="161" t="s">
        <v>3</v>
      </c>
      <c r="D83" s="74">
        <v>872584</v>
      </c>
      <c r="E83" s="96">
        <v>972692</v>
      </c>
      <c r="F83" s="96">
        <v>1030577</v>
      </c>
      <c r="G83" s="95">
        <v>1078384</v>
      </c>
      <c r="H83" s="89">
        <v>1136156</v>
      </c>
      <c r="I83" s="90"/>
      <c r="J83" s="90"/>
      <c r="K83" s="96">
        <v>1354556</v>
      </c>
      <c r="L83" s="164"/>
      <c r="M83" s="164"/>
      <c r="N83" s="164"/>
      <c r="O83" s="164"/>
    </row>
    <row r="84" spans="2:15" x14ac:dyDescent="0.25">
      <c r="B84" s="164">
        <v>21</v>
      </c>
      <c r="C84" s="162" t="s">
        <v>5</v>
      </c>
      <c r="D84" s="74">
        <v>872584</v>
      </c>
      <c r="E84" s="96">
        <v>972692</v>
      </c>
      <c r="F84" s="96">
        <v>1030577</v>
      </c>
      <c r="G84" s="95">
        <v>1078384</v>
      </c>
      <c r="H84" s="89">
        <v>1136156</v>
      </c>
      <c r="I84" s="90"/>
      <c r="J84" s="90"/>
      <c r="K84" s="96">
        <v>1354556</v>
      </c>
      <c r="L84" s="164"/>
      <c r="M84" s="164"/>
      <c r="N84" s="164"/>
      <c r="O84" s="164"/>
    </row>
    <row r="85" spans="2:15" x14ac:dyDescent="0.25">
      <c r="B85" s="164">
        <v>22</v>
      </c>
      <c r="C85" s="161" t="s">
        <v>6</v>
      </c>
      <c r="D85" s="74">
        <v>872584</v>
      </c>
      <c r="E85" s="96">
        <v>972692</v>
      </c>
      <c r="F85" s="96">
        <v>1030577</v>
      </c>
      <c r="G85" s="95">
        <v>1078384</v>
      </c>
      <c r="H85" s="89">
        <v>1136156</v>
      </c>
      <c r="I85" s="90"/>
      <c r="J85" s="90"/>
      <c r="K85" s="96">
        <v>1354556</v>
      </c>
      <c r="L85" s="164"/>
      <c r="M85" s="164"/>
      <c r="N85" s="164"/>
      <c r="O85" s="164"/>
    </row>
    <row r="86" spans="2:15" x14ac:dyDescent="0.25">
      <c r="B86" s="164">
        <v>23</v>
      </c>
      <c r="C86" s="161" t="s">
        <v>52</v>
      </c>
      <c r="D86" s="74">
        <v>872584</v>
      </c>
      <c r="E86" s="96">
        <v>972692</v>
      </c>
      <c r="F86" s="96">
        <v>1030577</v>
      </c>
      <c r="G86" s="95">
        <v>1078384</v>
      </c>
      <c r="H86" s="89">
        <v>1136156</v>
      </c>
      <c r="I86" s="90"/>
      <c r="J86" s="90"/>
      <c r="K86" s="96">
        <v>1354556</v>
      </c>
      <c r="L86" s="164"/>
      <c r="M86" s="164"/>
      <c r="N86" s="164"/>
      <c r="O86" s="164"/>
    </row>
    <row r="87" spans="2:15" x14ac:dyDescent="0.25">
      <c r="B87" s="164">
        <v>24</v>
      </c>
      <c r="C87" s="161" t="s">
        <v>168</v>
      </c>
      <c r="D87" s="74">
        <v>872584</v>
      </c>
      <c r="E87" s="96">
        <v>972692</v>
      </c>
      <c r="F87" s="96">
        <v>1030577</v>
      </c>
      <c r="G87" s="95">
        <v>1078384</v>
      </c>
      <c r="H87" s="89">
        <v>1136156</v>
      </c>
      <c r="I87" s="90"/>
      <c r="J87" s="90"/>
      <c r="K87" s="96">
        <v>1354556</v>
      </c>
      <c r="L87" s="164"/>
      <c r="M87" s="164"/>
      <c r="N87" s="164"/>
      <c r="O87" s="164"/>
    </row>
    <row r="88" spans="2:15" x14ac:dyDescent="0.25">
      <c r="B88" s="164">
        <v>25</v>
      </c>
      <c r="C88" s="161" t="s">
        <v>70</v>
      </c>
      <c r="D88" s="74">
        <v>872584</v>
      </c>
      <c r="E88" s="96">
        <v>972692</v>
      </c>
      <c r="F88" s="96">
        <v>1030577</v>
      </c>
      <c r="G88" s="95">
        <v>1078384</v>
      </c>
      <c r="H88" s="89">
        <v>1136156</v>
      </c>
      <c r="I88" s="90"/>
      <c r="J88" s="90"/>
      <c r="K88" s="96">
        <v>1354556</v>
      </c>
      <c r="L88" s="164"/>
      <c r="M88" s="164"/>
      <c r="N88" s="164"/>
      <c r="O88" s="164"/>
    </row>
    <row r="89" spans="2:15" x14ac:dyDescent="0.25">
      <c r="B89" s="164">
        <v>26</v>
      </c>
      <c r="C89" s="161" t="s">
        <v>173</v>
      </c>
      <c r="D89" s="96">
        <v>258522</v>
      </c>
      <c r="E89" s="96">
        <v>298360</v>
      </c>
      <c r="F89" s="96">
        <v>322270</v>
      </c>
      <c r="G89" s="95">
        <v>346269</v>
      </c>
      <c r="H89" s="89">
        <v>374158</v>
      </c>
      <c r="I89" s="90"/>
      <c r="J89" s="90"/>
      <c r="K89" s="90">
        <v>444502</v>
      </c>
      <c r="L89" s="164"/>
      <c r="M89" s="164"/>
      <c r="N89" s="164"/>
      <c r="O89" s="164"/>
    </row>
    <row r="90" spans="2:15" x14ac:dyDescent="0.25">
      <c r="B90" s="164">
        <v>27</v>
      </c>
      <c r="C90" s="161" t="s">
        <v>8</v>
      </c>
      <c r="D90" s="74">
        <v>872584</v>
      </c>
      <c r="E90" s="96">
        <v>972692</v>
      </c>
      <c r="F90" s="96">
        <v>1030577</v>
      </c>
      <c r="G90" s="95">
        <v>1078384</v>
      </c>
      <c r="H90" s="89">
        <v>1136156</v>
      </c>
      <c r="I90" s="90"/>
      <c r="J90" s="90"/>
      <c r="K90" s="96">
        <v>1354556</v>
      </c>
      <c r="L90" s="164"/>
      <c r="M90" s="164"/>
      <c r="N90" s="164"/>
      <c r="O90" s="164"/>
    </row>
    <row r="91" spans="2:15" x14ac:dyDescent="0.25"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</row>
    <row r="92" spans="2:15" x14ac:dyDescent="0.25"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</row>
    <row r="93" spans="2:15" ht="51" x14ac:dyDescent="0.25">
      <c r="B93" s="164"/>
      <c r="C93" s="163" t="s">
        <v>190</v>
      </c>
      <c r="D93" s="160">
        <v>2015</v>
      </c>
      <c r="E93" s="160">
        <v>2016</v>
      </c>
      <c r="F93" s="160">
        <v>2017</v>
      </c>
      <c r="G93" s="160">
        <v>2018</v>
      </c>
      <c r="H93" s="160">
        <v>2019</v>
      </c>
      <c r="I93" s="160">
        <v>2020</v>
      </c>
      <c r="J93" s="160">
        <v>2021</v>
      </c>
      <c r="K93" s="160">
        <v>2022</v>
      </c>
      <c r="L93" s="164"/>
      <c r="M93" s="164">
        <v>1.9E-2</v>
      </c>
      <c r="N93" s="164"/>
      <c r="O93" s="164"/>
    </row>
    <row r="94" spans="2:15" x14ac:dyDescent="0.25">
      <c r="B94" s="164">
        <v>1</v>
      </c>
      <c r="C94" s="161" t="s">
        <v>116</v>
      </c>
      <c r="D94" s="44">
        <f t="shared" ref="D94:K103" si="0">(D4+D34)+(D64*$M$93)</f>
        <v>183406.52666199999</v>
      </c>
      <c r="E94" s="44">
        <f t="shared" si="0"/>
        <v>203259.73246999999</v>
      </c>
      <c r="F94" s="44">
        <f t="shared" si="0"/>
        <v>206006.78578900002</v>
      </c>
      <c r="G94" s="44">
        <f t="shared" si="0"/>
        <v>257058.52890000003</v>
      </c>
      <c r="H94" s="44">
        <f t="shared" si="0"/>
        <v>191498.17282000001</v>
      </c>
      <c r="I94" s="44">
        <f t="shared" si="0"/>
        <v>300002.46357399999</v>
      </c>
      <c r="J94" s="44">
        <f t="shared" si="0"/>
        <v>320550.94821599999</v>
      </c>
      <c r="K94" s="44">
        <f t="shared" si="0"/>
        <v>334381.11652499996</v>
      </c>
      <c r="L94" s="164"/>
      <c r="M94" s="164"/>
      <c r="N94" s="164"/>
      <c r="O94" s="164"/>
    </row>
    <row r="95" spans="2:15" ht="25.5" x14ac:dyDescent="0.25">
      <c r="B95" s="164">
        <v>2</v>
      </c>
      <c r="C95" s="159" t="s">
        <v>118</v>
      </c>
      <c r="D95" s="44">
        <f t="shared" si="0"/>
        <v>41127.096000000005</v>
      </c>
      <c r="E95" s="44">
        <f t="shared" si="0"/>
        <v>44665.148000000001</v>
      </c>
      <c r="F95" s="44">
        <f t="shared" si="0"/>
        <v>47583.963000000003</v>
      </c>
      <c r="G95" s="44">
        <f t="shared" si="0"/>
        <v>51070.296000000002</v>
      </c>
      <c r="H95" s="44">
        <f t="shared" si="0"/>
        <v>65180.964</v>
      </c>
      <c r="I95" s="44">
        <f t="shared" si="0"/>
        <v>32514</v>
      </c>
      <c r="J95" s="44">
        <f t="shared" si="0"/>
        <v>37349</v>
      </c>
      <c r="K95" s="44">
        <f t="shared" si="0"/>
        <v>53365.563999999998</v>
      </c>
      <c r="L95" s="164"/>
      <c r="M95" s="164"/>
      <c r="N95" s="164"/>
      <c r="O95" s="164"/>
    </row>
    <row r="96" spans="2:15" x14ac:dyDescent="0.25">
      <c r="B96" s="164">
        <v>3</v>
      </c>
      <c r="C96" s="161" t="s">
        <v>58</v>
      </c>
      <c r="D96" s="44">
        <f t="shared" si="0"/>
        <v>20275.096000000001</v>
      </c>
      <c r="E96" s="44">
        <f t="shared" si="0"/>
        <v>22774.148000000001</v>
      </c>
      <c r="F96" s="44">
        <f t="shared" si="0"/>
        <v>23584.963</v>
      </c>
      <c r="G96" s="44">
        <f t="shared" si="0"/>
        <v>24544.295999999998</v>
      </c>
      <c r="H96" s="44">
        <f t="shared" si="0"/>
        <v>25308.964</v>
      </c>
      <c r="I96" s="44">
        <f t="shared" si="0"/>
        <v>2046</v>
      </c>
      <c r="J96" s="44">
        <f t="shared" si="0"/>
        <v>3980</v>
      </c>
      <c r="K96" s="44">
        <f t="shared" si="0"/>
        <v>34854.563999999998</v>
      </c>
      <c r="L96" s="164"/>
      <c r="M96" s="164"/>
      <c r="N96" s="164"/>
      <c r="O96" s="164"/>
    </row>
    <row r="97" spans="2:15" x14ac:dyDescent="0.25">
      <c r="B97" s="164">
        <v>4</v>
      </c>
      <c r="C97" s="161" t="s">
        <v>60</v>
      </c>
      <c r="D97" s="44">
        <f t="shared" si="0"/>
        <v>100899.09600000001</v>
      </c>
      <c r="E97" s="44">
        <f t="shared" si="0"/>
        <v>105860.148</v>
      </c>
      <c r="F97" s="44">
        <f t="shared" si="0"/>
        <v>109110.963</v>
      </c>
      <c r="G97" s="44">
        <f t="shared" si="0"/>
        <v>114510.296</v>
      </c>
      <c r="H97" s="44">
        <f t="shared" si="0"/>
        <v>109349.96400000001</v>
      </c>
      <c r="I97" s="44">
        <f t="shared" si="0"/>
        <v>0</v>
      </c>
      <c r="J97" s="44">
        <f t="shared" si="0"/>
        <v>0</v>
      </c>
      <c r="K97" s="44">
        <f t="shared" si="0"/>
        <v>129724.564</v>
      </c>
      <c r="L97" s="164"/>
      <c r="M97" s="164"/>
      <c r="N97" s="164"/>
      <c r="O97" s="164"/>
    </row>
    <row r="98" spans="2:15" x14ac:dyDescent="0.25">
      <c r="B98" s="164">
        <v>5</v>
      </c>
      <c r="C98" s="161" t="s">
        <v>125</v>
      </c>
      <c r="D98" s="44">
        <f t="shared" si="0"/>
        <v>75673.025560000009</v>
      </c>
      <c r="E98" s="44">
        <f t="shared" si="0"/>
        <v>89962.110763999997</v>
      </c>
      <c r="F98" s="44">
        <f t="shared" si="0"/>
        <v>93347.306401000009</v>
      </c>
      <c r="G98" s="44">
        <f t="shared" si="0"/>
        <v>97319.792624000009</v>
      </c>
      <c r="H98" s="44">
        <f t="shared" si="0"/>
        <v>110144.09918399999</v>
      </c>
      <c r="I98" s="44">
        <f t="shared" si="0"/>
        <v>93204.284857999999</v>
      </c>
      <c r="J98" s="44">
        <f t="shared" si="0"/>
        <v>84932.232638999994</v>
      </c>
      <c r="K98" s="44">
        <f t="shared" si="0"/>
        <v>141756.71881200001</v>
      </c>
      <c r="L98" s="164"/>
      <c r="M98" s="164"/>
      <c r="N98" s="164"/>
      <c r="O98" s="164"/>
    </row>
    <row r="99" spans="2:15" x14ac:dyDescent="0.25">
      <c r="B99" s="164">
        <v>6</v>
      </c>
      <c r="C99" s="161" t="s">
        <v>128</v>
      </c>
      <c r="D99" s="44">
        <f t="shared" si="0"/>
        <v>19565.243444</v>
      </c>
      <c r="E99" s="44">
        <f t="shared" si="0"/>
        <v>17891.761875999997</v>
      </c>
      <c r="F99" s="44">
        <f t="shared" si="0"/>
        <v>19424.898929999999</v>
      </c>
      <c r="G99" s="44">
        <f t="shared" si="0"/>
        <v>20758.738385000001</v>
      </c>
      <c r="H99" s="44">
        <f t="shared" si="0"/>
        <v>26632.990076000002</v>
      </c>
      <c r="I99" s="44">
        <f t="shared" si="0"/>
        <v>7218.5994810000002</v>
      </c>
      <c r="J99" s="44">
        <f t="shared" si="0"/>
        <v>7739.5871299999999</v>
      </c>
      <c r="K99" s="44">
        <f t="shared" si="0"/>
        <v>27430.419787999999</v>
      </c>
      <c r="L99" s="164"/>
      <c r="M99" s="164"/>
      <c r="N99" s="164"/>
      <c r="O99" s="164"/>
    </row>
    <row r="100" spans="2:15" x14ac:dyDescent="0.25">
      <c r="B100" s="164">
        <v>7</v>
      </c>
      <c r="C100" s="161" t="s">
        <v>130</v>
      </c>
      <c r="D100" s="44">
        <f t="shared" si="0"/>
        <v>80978.556680000009</v>
      </c>
      <c r="E100" s="44">
        <f t="shared" si="0"/>
        <v>80064.253704000002</v>
      </c>
      <c r="F100" s="44">
        <f t="shared" si="0"/>
        <v>85624.940919000001</v>
      </c>
      <c r="G100" s="44">
        <f t="shared" si="0"/>
        <v>91667.267312000011</v>
      </c>
      <c r="H100" s="44">
        <f t="shared" si="0"/>
        <v>102557.11745200001</v>
      </c>
      <c r="I100" s="44">
        <f t="shared" si="0"/>
        <v>59417.885741999999</v>
      </c>
      <c r="J100" s="44">
        <f t="shared" si="0"/>
        <v>82012.761173000006</v>
      </c>
      <c r="K100" s="44">
        <f t="shared" si="0"/>
        <v>101414.13548</v>
      </c>
      <c r="L100" s="164"/>
      <c r="M100" s="164"/>
      <c r="N100" s="164"/>
      <c r="O100" s="164"/>
    </row>
    <row r="101" spans="2:15" x14ac:dyDescent="0.25">
      <c r="B101" s="164">
        <v>8</v>
      </c>
      <c r="C101" s="161" t="s">
        <v>12</v>
      </c>
      <c r="D101" s="44">
        <f t="shared" si="0"/>
        <v>45261.447700000004</v>
      </c>
      <c r="E101" s="44">
        <f t="shared" si="0"/>
        <v>57331.696924000003</v>
      </c>
      <c r="F101" s="44">
        <f t="shared" si="0"/>
        <v>58539.079882999999</v>
      </c>
      <c r="G101" s="44">
        <f t="shared" si="0"/>
        <v>59374.86860799999</v>
      </c>
      <c r="H101" s="44">
        <f t="shared" si="0"/>
        <v>62722.196175999998</v>
      </c>
      <c r="I101" s="44">
        <f t="shared" si="0"/>
        <v>58492.369585999993</v>
      </c>
      <c r="J101" s="44">
        <f t="shared" si="0"/>
        <v>43297.25937</v>
      </c>
      <c r="K101" s="44">
        <f t="shared" si="0"/>
        <v>72767.443838000007</v>
      </c>
      <c r="L101" s="164"/>
      <c r="M101" s="164"/>
      <c r="N101" s="164"/>
      <c r="O101" s="164"/>
    </row>
    <row r="102" spans="2:15" x14ac:dyDescent="0.25">
      <c r="B102" s="164">
        <v>9</v>
      </c>
      <c r="C102" s="161" t="s">
        <v>11</v>
      </c>
      <c r="D102" s="44">
        <f t="shared" si="0"/>
        <v>65348.72677600001</v>
      </c>
      <c r="E102" s="44">
        <f t="shared" si="0"/>
        <v>62550.335392000001</v>
      </c>
      <c r="F102" s="44">
        <f t="shared" si="0"/>
        <v>68661.152327999996</v>
      </c>
      <c r="G102" s="44">
        <f t="shared" si="0"/>
        <v>74986.208528000003</v>
      </c>
      <c r="H102" s="44">
        <f t="shared" si="0"/>
        <v>86750.559860000008</v>
      </c>
      <c r="I102" s="44">
        <f t="shared" si="0"/>
        <v>70747.947706999999</v>
      </c>
      <c r="J102" s="44">
        <f t="shared" si="0"/>
        <v>99616.54450399999</v>
      </c>
      <c r="K102" s="44">
        <f t="shared" si="0"/>
        <v>131419.442992</v>
      </c>
      <c r="L102" s="164"/>
      <c r="M102" s="164"/>
      <c r="N102" s="164"/>
      <c r="O102" s="164"/>
    </row>
    <row r="103" spans="2:15" ht="25.5" x14ac:dyDescent="0.25">
      <c r="B103" s="164">
        <v>10</v>
      </c>
      <c r="C103" s="161" t="s">
        <v>137</v>
      </c>
      <c r="D103" s="44">
        <f t="shared" si="0"/>
        <v>25416.096000000001</v>
      </c>
      <c r="E103" s="44">
        <f t="shared" si="0"/>
        <v>27307.148000000001</v>
      </c>
      <c r="F103" s="44">
        <f t="shared" si="0"/>
        <v>28790.963</v>
      </c>
      <c r="G103" s="44">
        <f t="shared" si="0"/>
        <v>30658.295999999998</v>
      </c>
      <c r="H103" s="44">
        <f t="shared" si="0"/>
        <v>32080.964</v>
      </c>
      <c r="I103" s="44">
        <f t="shared" si="0"/>
        <v>0</v>
      </c>
      <c r="J103" s="44">
        <f t="shared" si="0"/>
        <v>0</v>
      </c>
      <c r="K103" s="44">
        <f t="shared" si="0"/>
        <v>37233.563999999998</v>
      </c>
      <c r="L103" s="164"/>
      <c r="M103" s="164"/>
      <c r="N103" s="164"/>
      <c r="O103" s="164"/>
    </row>
    <row r="104" spans="2:15" ht="25.5" x14ac:dyDescent="0.25">
      <c r="B104" s="164">
        <v>11</v>
      </c>
      <c r="C104" s="161" t="s">
        <v>140</v>
      </c>
      <c r="D104" s="44">
        <f t="shared" ref="D104:K113" si="1">(D14+D44)+(D74*$M$93)</f>
        <v>20900.128552000002</v>
      </c>
      <c r="E104" s="44">
        <f t="shared" si="1"/>
        <v>28917.081092</v>
      </c>
      <c r="F104" s="44">
        <f t="shared" si="1"/>
        <v>30277.267134000002</v>
      </c>
      <c r="G104" s="44">
        <f t="shared" si="1"/>
        <v>32985.332832</v>
      </c>
      <c r="H104" s="44">
        <f t="shared" si="1"/>
        <v>34562.301052000003</v>
      </c>
      <c r="I104" s="44">
        <f t="shared" si="1"/>
        <v>11744.109627999998</v>
      </c>
      <c r="J104" s="44">
        <f t="shared" si="1"/>
        <v>11831.010797999999</v>
      </c>
      <c r="K104" s="44">
        <f t="shared" si="1"/>
        <v>36490.879507999998</v>
      </c>
      <c r="L104" s="164"/>
      <c r="M104" s="164"/>
      <c r="N104" s="164"/>
      <c r="O104" s="164"/>
    </row>
    <row r="105" spans="2:15" x14ac:dyDescent="0.25">
      <c r="B105" s="164">
        <v>12</v>
      </c>
      <c r="C105" s="161" t="s">
        <v>142</v>
      </c>
      <c r="D105" s="44">
        <f t="shared" si="1"/>
        <v>103274.64664000001</v>
      </c>
      <c r="E105" s="44">
        <f t="shared" si="1"/>
        <v>109848.234364</v>
      </c>
      <c r="F105" s="44">
        <f t="shared" si="1"/>
        <v>116124.527069</v>
      </c>
      <c r="G105" s="44">
        <f t="shared" si="1"/>
        <v>145866.62635199999</v>
      </c>
      <c r="H105" s="44">
        <f t="shared" si="1"/>
        <v>144009.27860799999</v>
      </c>
      <c r="I105" s="44">
        <f t="shared" si="1"/>
        <v>104184.46675200001</v>
      </c>
      <c r="J105" s="44">
        <f t="shared" si="1"/>
        <v>146189.09046599999</v>
      </c>
      <c r="K105" s="44">
        <f t="shared" si="1"/>
        <v>179299.75115600001</v>
      </c>
      <c r="L105" s="164"/>
      <c r="M105" s="164"/>
      <c r="N105" s="164"/>
      <c r="O105" s="164"/>
    </row>
    <row r="106" spans="2:15" ht="25.5" x14ac:dyDescent="0.25">
      <c r="B106" s="164">
        <v>13</v>
      </c>
      <c r="C106" s="161" t="s">
        <v>145</v>
      </c>
      <c r="D106" s="44">
        <f t="shared" si="1"/>
        <v>19567.096000000001</v>
      </c>
      <c r="E106" s="44">
        <f t="shared" si="1"/>
        <v>21143.148000000001</v>
      </c>
      <c r="F106" s="44">
        <f t="shared" si="1"/>
        <v>22105.963</v>
      </c>
      <c r="G106" s="44">
        <f t="shared" si="1"/>
        <v>23231.295999999998</v>
      </c>
      <c r="H106" s="44">
        <f t="shared" si="1"/>
        <v>24476.964</v>
      </c>
      <c r="I106" s="44">
        <f t="shared" si="1"/>
        <v>293</v>
      </c>
      <c r="J106" s="44">
        <f t="shared" si="1"/>
        <v>1707</v>
      </c>
      <c r="K106" s="44">
        <f t="shared" si="1"/>
        <v>32221.563999999998</v>
      </c>
      <c r="L106" s="164"/>
      <c r="M106" s="164"/>
      <c r="N106" s="164"/>
      <c r="O106" s="164"/>
    </row>
    <row r="107" spans="2:15" x14ac:dyDescent="0.25">
      <c r="B107" s="164">
        <v>14</v>
      </c>
      <c r="C107" s="161" t="s">
        <v>54</v>
      </c>
      <c r="D107" s="44">
        <f t="shared" si="1"/>
        <v>3122.96</v>
      </c>
      <c r="E107" s="44">
        <f t="shared" si="1"/>
        <v>5411.4920000000002</v>
      </c>
      <c r="F107" s="44">
        <f t="shared" si="1"/>
        <v>6688.0420000000004</v>
      </c>
      <c r="G107" s="44">
        <f t="shared" si="1"/>
        <v>4722.3559999999998</v>
      </c>
      <c r="H107" s="44">
        <f t="shared" si="1"/>
        <v>5519.1360000000004</v>
      </c>
      <c r="I107" s="44">
        <f t="shared" si="1"/>
        <v>0</v>
      </c>
      <c r="J107" s="44">
        <f t="shared" si="1"/>
        <v>0</v>
      </c>
      <c r="K107" s="44">
        <f t="shared" si="1"/>
        <v>3330.0590000000002</v>
      </c>
      <c r="L107" s="164"/>
      <c r="M107" s="164"/>
      <c r="N107" s="164"/>
      <c r="O107" s="164"/>
    </row>
    <row r="108" spans="2:15" x14ac:dyDescent="0.25">
      <c r="B108" s="164">
        <v>15</v>
      </c>
      <c r="C108" s="162" t="s">
        <v>9</v>
      </c>
      <c r="D108" s="44">
        <f t="shared" si="1"/>
        <v>26907.73648</v>
      </c>
      <c r="E108" s="44">
        <f t="shared" si="1"/>
        <v>28761.521248000001</v>
      </c>
      <c r="F108" s="44">
        <f t="shared" si="1"/>
        <v>29715.161284000002</v>
      </c>
      <c r="G108" s="44">
        <f t="shared" si="1"/>
        <v>33108.219888</v>
      </c>
      <c r="H108" s="44">
        <f t="shared" si="1"/>
        <v>34801.860803999996</v>
      </c>
      <c r="I108" s="44">
        <f t="shared" si="1"/>
        <v>3090.9739880000002</v>
      </c>
      <c r="J108" s="44">
        <f t="shared" si="1"/>
        <v>9360.7468549999994</v>
      </c>
      <c r="K108" s="44">
        <f t="shared" si="1"/>
        <v>28919.026559999998</v>
      </c>
      <c r="L108" s="164"/>
      <c r="M108" s="164"/>
      <c r="N108" s="164"/>
      <c r="O108" s="164"/>
    </row>
    <row r="109" spans="2:15" x14ac:dyDescent="0.25">
      <c r="B109" s="164">
        <v>16</v>
      </c>
      <c r="C109" s="161" t="s">
        <v>151</v>
      </c>
      <c r="D109" s="44">
        <f t="shared" si="1"/>
        <v>66336.178</v>
      </c>
      <c r="E109" s="44">
        <f t="shared" si="1"/>
        <v>76277.308000000005</v>
      </c>
      <c r="F109" s="44">
        <f t="shared" si="1"/>
        <v>68006.832999999999</v>
      </c>
      <c r="G109" s="44">
        <f t="shared" si="1"/>
        <v>72918.184999999998</v>
      </c>
      <c r="H109" s="44">
        <f t="shared" si="1"/>
        <v>81585.962</v>
      </c>
      <c r="I109" s="44">
        <f t="shared" si="1"/>
        <v>0</v>
      </c>
      <c r="J109" s="44">
        <f t="shared" si="1"/>
        <v>0</v>
      </c>
      <c r="K109" s="44">
        <f t="shared" si="1"/>
        <v>90399.025999999998</v>
      </c>
      <c r="L109" s="164"/>
      <c r="M109" s="164"/>
      <c r="N109" s="164"/>
      <c r="O109" s="164"/>
    </row>
    <row r="110" spans="2:15" x14ac:dyDescent="0.25">
      <c r="B110" s="164">
        <v>17</v>
      </c>
      <c r="C110" s="161" t="s">
        <v>153</v>
      </c>
      <c r="D110" s="44">
        <f t="shared" si="1"/>
        <v>22995.878916000001</v>
      </c>
      <c r="E110" s="44">
        <f t="shared" si="1"/>
        <v>24180.70016</v>
      </c>
      <c r="F110" s="44">
        <f t="shared" si="1"/>
        <v>24108.442285000001</v>
      </c>
      <c r="G110" s="44">
        <f t="shared" si="1"/>
        <v>26494.723685000001</v>
      </c>
      <c r="H110" s="44">
        <f t="shared" si="1"/>
        <v>29176.418709999998</v>
      </c>
      <c r="I110" s="44">
        <f t="shared" si="1"/>
        <v>13305.032436</v>
      </c>
      <c r="J110" s="44">
        <f t="shared" si="1"/>
        <v>23167.312570000002</v>
      </c>
      <c r="K110" s="44">
        <f t="shared" si="1"/>
        <v>42697.984316000002</v>
      </c>
      <c r="L110" s="164"/>
      <c r="M110" s="164"/>
      <c r="N110" s="164"/>
      <c r="O110" s="164"/>
    </row>
    <row r="111" spans="2:15" ht="25.5" x14ac:dyDescent="0.25">
      <c r="B111" s="164">
        <v>18</v>
      </c>
      <c r="C111" s="161" t="s">
        <v>55</v>
      </c>
      <c r="D111" s="44">
        <f t="shared" si="1"/>
        <v>16217.602104</v>
      </c>
      <c r="E111" s="44">
        <f t="shared" si="1"/>
        <v>17238.047359999997</v>
      </c>
      <c r="F111" s="44">
        <f t="shared" si="1"/>
        <v>17827.331859999998</v>
      </c>
      <c r="G111" s="44">
        <f t="shared" si="1"/>
        <v>20405.285901000003</v>
      </c>
      <c r="H111" s="44">
        <f t="shared" si="1"/>
        <v>22757.044611999998</v>
      </c>
      <c r="I111" s="44">
        <f t="shared" si="1"/>
        <v>20011.774160000001</v>
      </c>
      <c r="J111" s="44">
        <f t="shared" si="1"/>
        <v>16724.545254000001</v>
      </c>
      <c r="K111" s="44">
        <f t="shared" si="1"/>
        <v>26742.343027999999</v>
      </c>
      <c r="L111" s="164"/>
      <c r="M111" s="164"/>
      <c r="N111" s="164"/>
      <c r="O111" s="164"/>
    </row>
    <row r="112" spans="2:15" x14ac:dyDescent="0.25">
      <c r="B112" s="164">
        <v>19</v>
      </c>
      <c r="C112" s="161" t="s">
        <v>157</v>
      </c>
      <c r="D112" s="44">
        <f t="shared" si="1"/>
        <v>165831.66671200001</v>
      </c>
      <c r="E112" s="44">
        <f t="shared" si="1"/>
        <v>180419.96223200002</v>
      </c>
      <c r="F112" s="44">
        <f t="shared" si="1"/>
        <v>188919.822889</v>
      </c>
      <c r="G112" s="44">
        <f t="shared" si="1"/>
        <v>231425.25571200001</v>
      </c>
      <c r="H112" s="44">
        <f t="shared" si="1"/>
        <v>235808.1397</v>
      </c>
      <c r="I112" s="44">
        <f t="shared" si="1"/>
        <v>147025.61966600001</v>
      </c>
      <c r="J112" s="44">
        <f t="shared" si="1"/>
        <v>192751.657641</v>
      </c>
      <c r="K112" s="44">
        <f t="shared" si="1"/>
        <v>242437.941124</v>
      </c>
      <c r="L112" s="164"/>
      <c r="M112" s="164"/>
      <c r="N112" s="164"/>
      <c r="O112" s="164"/>
    </row>
    <row r="113" spans="2:15" x14ac:dyDescent="0.25">
      <c r="B113" s="164">
        <v>20</v>
      </c>
      <c r="C113" s="161" t="s">
        <v>3</v>
      </c>
      <c r="D113" s="44">
        <f t="shared" si="1"/>
        <v>115073.868584</v>
      </c>
      <c r="E113" s="44">
        <f t="shared" si="1"/>
        <v>126495.880988</v>
      </c>
      <c r="F113" s="44">
        <f t="shared" si="1"/>
        <v>118813.787731</v>
      </c>
      <c r="G113" s="44">
        <f t="shared" si="1"/>
        <v>123759.568832</v>
      </c>
      <c r="H113" s="44">
        <f t="shared" si="1"/>
        <v>135398.552444</v>
      </c>
      <c r="I113" s="44">
        <f t="shared" si="1"/>
        <v>98014.917702000006</v>
      </c>
      <c r="J113" s="44">
        <f t="shared" si="1"/>
        <v>157116.584473</v>
      </c>
      <c r="K113" s="44">
        <f t="shared" si="1"/>
        <v>210707.03779199999</v>
      </c>
      <c r="L113" s="164"/>
      <c r="M113" s="164"/>
      <c r="N113" s="164"/>
      <c r="O113" s="164"/>
    </row>
    <row r="114" spans="2:15" x14ac:dyDescent="0.25">
      <c r="B114" s="164">
        <v>21</v>
      </c>
      <c r="C114" s="162" t="s">
        <v>5</v>
      </c>
      <c r="D114" s="44">
        <f t="shared" ref="D114:K123" si="2">(D24+D54)+(D84*$M$93)</f>
        <v>18766.664088000001</v>
      </c>
      <c r="E114" s="44">
        <f t="shared" si="2"/>
        <v>20481.002752</v>
      </c>
      <c r="F114" s="44">
        <f t="shared" si="2"/>
        <v>22629.409766000001</v>
      </c>
      <c r="G114" s="44">
        <f t="shared" si="2"/>
        <v>27693.425919999998</v>
      </c>
      <c r="H114" s="44">
        <f t="shared" si="2"/>
        <v>25061.8164</v>
      </c>
      <c r="I114" s="44">
        <f t="shared" si="2"/>
        <v>3793.6684330000003</v>
      </c>
      <c r="J114" s="44">
        <f t="shared" si="2"/>
        <v>2982.7267220000003</v>
      </c>
      <c r="K114" s="44">
        <f t="shared" si="2"/>
        <v>28742.323763999997</v>
      </c>
      <c r="L114" s="164"/>
      <c r="M114" s="164"/>
      <c r="N114" s="164"/>
      <c r="O114" s="164"/>
    </row>
    <row r="115" spans="2:15" x14ac:dyDescent="0.25">
      <c r="B115" s="164">
        <v>22</v>
      </c>
      <c r="C115" s="161" t="s">
        <v>6</v>
      </c>
      <c r="D115" s="44">
        <f t="shared" si="2"/>
        <v>221572.76613599999</v>
      </c>
      <c r="E115" s="44">
        <f t="shared" si="2"/>
        <v>344753.29356399999</v>
      </c>
      <c r="F115" s="44">
        <f t="shared" si="2"/>
        <v>337972.54836599994</v>
      </c>
      <c r="G115" s="44">
        <f t="shared" si="2"/>
        <v>332343.878608</v>
      </c>
      <c r="H115" s="44">
        <f t="shared" si="2"/>
        <v>329493.16273599991</v>
      </c>
      <c r="I115" s="44">
        <f t="shared" si="2"/>
        <v>323146.739695</v>
      </c>
      <c r="J115" s="44">
        <f t="shared" si="2"/>
        <v>354816.64720200002</v>
      </c>
      <c r="K115" s="44">
        <f t="shared" si="2"/>
        <v>503780.73546400003</v>
      </c>
      <c r="L115" s="164"/>
      <c r="M115" s="164"/>
      <c r="N115" s="164"/>
      <c r="O115" s="164"/>
    </row>
    <row r="116" spans="2:15" x14ac:dyDescent="0.25">
      <c r="B116" s="164">
        <v>23</v>
      </c>
      <c r="C116" s="161" t="s">
        <v>52</v>
      </c>
      <c r="D116" s="44">
        <f t="shared" si="2"/>
        <v>54727.935716000007</v>
      </c>
      <c r="E116" s="44">
        <f t="shared" si="2"/>
        <v>56776.209144</v>
      </c>
      <c r="F116" s="44">
        <f t="shared" si="2"/>
        <v>53599.963000000003</v>
      </c>
      <c r="G116" s="44">
        <f t="shared" si="2"/>
        <v>60394.296000000002</v>
      </c>
      <c r="H116" s="44">
        <f t="shared" si="2"/>
        <v>65260.964</v>
      </c>
      <c r="I116" s="44">
        <f t="shared" si="2"/>
        <v>44356</v>
      </c>
      <c r="J116" s="44">
        <f t="shared" si="2"/>
        <v>48516</v>
      </c>
      <c r="K116" s="44">
        <f t="shared" si="2"/>
        <v>80533.563999999998</v>
      </c>
      <c r="L116" s="164"/>
      <c r="M116" s="164"/>
      <c r="N116" s="164"/>
      <c r="O116" s="164"/>
    </row>
    <row r="117" spans="2:15" x14ac:dyDescent="0.25">
      <c r="B117" s="164">
        <v>24</v>
      </c>
      <c r="C117" s="161" t="s">
        <v>168</v>
      </c>
      <c r="D117" s="44">
        <f t="shared" si="2"/>
        <v>62507.558304000006</v>
      </c>
      <c r="E117" s="44">
        <f t="shared" si="2"/>
        <v>78158.052980000008</v>
      </c>
      <c r="F117" s="44">
        <f t="shared" si="2"/>
        <v>84430.601202999998</v>
      </c>
      <c r="G117" s="44">
        <f t="shared" si="2"/>
        <v>83871.087583999994</v>
      </c>
      <c r="H117" s="44">
        <f t="shared" si="2"/>
        <v>87624.469631999993</v>
      </c>
      <c r="I117" s="44">
        <f t="shared" si="2"/>
        <v>72031.184427</v>
      </c>
      <c r="J117" s="44">
        <f t="shared" si="2"/>
        <v>85282.629690000002</v>
      </c>
      <c r="K117" s="44">
        <f t="shared" si="2"/>
        <v>125624.33537999999</v>
      </c>
      <c r="L117" s="164"/>
      <c r="M117" s="164"/>
      <c r="N117" s="164"/>
      <c r="O117" s="164"/>
    </row>
    <row r="118" spans="2:15" x14ac:dyDescent="0.25">
      <c r="B118" s="164">
        <v>25</v>
      </c>
      <c r="C118" s="161" t="s">
        <v>70</v>
      </c>
      <c r="D118" s="44">
        <f t="shared" si="2"/>
        <v>50551.096000000005</v>
      </c>
      <c r="E118" s="44">
        <f t="shared" si="2"/>
        <v>53256.148000000001</v>
      </c>
      <c r="F118" s="44">
        <f t="shared" si="2"/>
        <v>55731.963000000003</v>
      </c>
      <c r="G118" s="44">
        <f t="shared" si="2"/>
        <v>61089.296000000002</v>
      </c>
      <c r="H118" s="44">
        <f t="shared" si="2"/>
        <v>63549.964</v>
      </c>
      <c r="I118" s="44">
        <f t="shared" si="2"/>
        <v>0</v>
      </c>
      <c r="J118" s="44">
        <f t="shared" si="2"/>
        <v>0</v>
      </c>
      <c r="K118" s="44">
        <f t="shared" si="2"/>
        <v>69336.563999999998</v>
      </c>
      <c r="L118" s="164"/>
      <c r="M118" s="164"/>
      <c r="N118" s="164"/>
      <c r="O118" s="164"/>
    </row>
    <row r="119" spans="2:15" x14ac:dyDescent="0.25">
      <c r="B119" s="164">
        <v>26</v>
      </c>
      <c r="C119" s="161" t="s">
        <v>173</v>
      </c>
      <c r="D119" s="44">
        <f t="shared" si="2"/>
        <v>11656.918</v>
      </c>
      <c r="E119" s="44">
        <f t="shared" si="2"/>
        <v>18488.84</v>
      </c>
      <c r="F119" s="44">
        <f t="shared" si="2"/>
        <v>25347.13</v>
      </c>
      <c r="G119" s="44">
        <f t="shared" si="2"/>
        <v>27469.111000000001</v>
      </c>
      <c r="H119" s="44">
        <f t="shared" si="2"/>
        <v>29616.002</v>
      </c>
      <c r="I119" s="44">
        <f t="shared" si="2"/>
        <v>0</v>
      </c>
      <c r="J119" s="44">
        <f t="shared" si="2"/>
        <v>0</v>
      </c>
      <c r="K119" s="44">
        <f t="shared" si="2"/>
        <v>35085.538</v>
      </c>
      <c r="L119" s="164"/>
      <c r="M119" s="164"/>
      <c r="N119" s="164"/>
      <c r="O119" s="164"/>
    </row>
    <row r="120" spans="2:15" x14ac:dyDescent="0.25">
      <c r="B120" s="164">
        <v>27</v>
      </c>
      <c r="C120" s="161" t="s">
        <v>8</v>
      </c>
      <c r="D120" s="44">
        <f t="shared" si="2"/>
        <v>46326.495999999999</v>
      </c>
      <c r="E120" s="44">
        <f t="shared" si="2"/>
        <v>48299.648000000001</v>
      </c>
      <c r="F120" s="44">
        <f t="shared" si="2"/>
        <v>52287.562999999995</v>
      </c>
      <c r="G120" s="44">
        <f t="shared" si="2"/>
        <v>51123.395999999993</v>
      </c>
      <c r="H120" s="44">
        <f t="shared" si="2"/>
        <v>62088.063999999998</v>
      </c>
      <c r="I120" s="44">
        <f t="shared" si="2"/>
        <v>37606</v>
      </c>
      <c r="J120" s="44">
        <f t="shared" si="2"/>
        <v>58224.3</v>
      </c>
      <c r="K120" s="44">
        <f t="shared" si="2"/>
        <v>87200.063999999998</v>
      </c>
      <c r="L120" s="164"/>
      <c r="M120" s="164"/>
      <c r="N120" s="164"/>
      <c r="O120" s="1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9"/>
  <sheetViews>
    <sheetView tabSelected="1" topLeftCell="B1" zoomScaleNormal="100" workbookViewId="0">
      <selection activeCell="J1" sqref="J1:J1048576"/>
    </sheetView>
  </sheetViews>
  <sheetFormatPr defaultRowHeight="15" x14ac:dyDescent="0.25"/>
  <cols>
    <col min="3" max="3" width="26.7109375" customWidth="1"/>
  </cols>
  <sheetData>
    <row r="2" spans="2:18" ht="110.25" x14ac:dyDescent="0.25">
      <c r="B2" s="202" t="s">
        <v>75</v>
      </c>
      <c r="C2" s="203" t="s">
        <v>192</v>
      </c>
      <c r="D2" s="204">
        <v>2015</v>
      </c>
      <c r="E2" s="204">
        <v>2016</v>
      </c>
      <c r="F2" s="204">
        <v>2017</v>
      </c>
      <c r="G2" s="204">
        <v>2018</v>
      </c>
      <c r="H2" s="204">
        <v>2019</v>
      </c>
      <c r="I2" s="204">
        <v>2022</v>
      </c>
      <c r="J2" s="204">
        <v>2023</v>
      </c>
      <c r="K2" s="204">
        <v>2024</v>
      </c>
      <c r="L2" s="204">
        <v>2025</v>
      </c>
      <c r="M2" s="204">
        <v>2026</v>
      </c>
      <c r="N2" s="204">
        <v>2027</v>
      </c>
      <c r="O2" s="204">
        <v>2028</v>
      </c>
      <c r="P2" s="204">
        <v>2029</v>
      </c>
      <c r="Q2" s="204">
        <v>2030</v>
      </c>
      <c r="R2" s="205" t="s">
        <v>193</v>
      </c>
    </row>
    <row r="3" spans="2:18" ht="15.75" x14ac:dyDescent="0.25">
      <c r="B3" s="206">
        <v>1</v>
      </c>
      <c r="C3" s="207" t="s">
        <v>116</v>
      </c>
      <c r="D3" s="2">
        <v>395</v>
      </c>
      <c r="E3" s="2">
        <v>379</v>
      </c>
      <c r="F3" s="2">
        <v>401</v>
      </c>
      <c r="G3" s="2">
        <v>396</v>
      </c>
      <c r="H3" s="2">
        <v>442</v>
      </c>
      <c r="I3" s="2">
        <v>514</v>
      </c>
      <c r="J3" s="208">
        <v>508</v>
      </c>
      <c r="K3" s="208">
        <v>525</v>
      </c>
      <c r="L3" s="208">
        <v>541</v>
      </c>
      <c r="M3" s="208">
        <v>558</v>
      </c>
      <c r="N3" s="208">
        <v>575</v>
      </c>
      <c r="O3" s="208">
        <v>591</v>
      </c>
      <c r="P3" s="208">
        <v>608</v>
      </c>
      <c r="Q3" s="208">
        <v>625</v>
      </c>
      <c r="R3" s="209">
        <f>(J3-I3)/I3</f>
        <v>-1.1673151750972763E-2</v>
      </c>
    </row>
    <row r="4" spans="2:18" ht="15.75" x14ac:dyDescent="0.25">
      <c r="B4" s="206">
        <v>2</v>
      </c>
      <c r="C4" s="207" t="s">
        <v>118</v>
      </c>
      <c r="D4" s="2">
        <v>16</v>
      </c>
      <c r="E4" s="2">
        <v>18</v>
      </c>
      <c r="F4" s="2">
        <v>17</v>
      </c>
      <c r="G4" s="2">
        <v>17</v>
      </c>
      <c r="H4" s="2">
        <v>20</v>
      </c>
      <c r="I4" s="2">
        <v>21</v>
      </c>
      <c r="J4" s="208">
        <v>21</v>
      </c>
      <c r="K4" s="208">
        <v>22</v>
      </c>
      <c r="L4" s="208">
        <v>22</v>
      </c>
      <c r="M4" s="208">
        <v>23</v>
      </c>
      <c r="N4" s="208">
        <v>24</v>
      </c>
      <c r="O4" s="208">
        <v>24</v>
      </c>
      <c r="P4" s="208">
        <v>25</v>
      </c>
      <c r="Q4" s="208">
        <v>25</v>
      </c>
      <c r="R4" s="209">
        <f t="shared" ref="R4:R29" si="0">(J4-I4)/I4</f>
        <v>0</v>
      </c>
    </row>
    <row r="5" spans="2:18" ht="15.75" x14ac:dyDescent="0.25">
      <c r="B5" s="206">
        <v>3</v>
      </c>
      <c r="C5" s="207" t="s">
        <v>58</v>
      </c>
      <c r="D5" s="2">
        <v>33</v>
      </c>
      <c r="E5" s="2">
        <v>34</v>
      </c>
      <c r="F5" s="2">
        <v>31</v>
      </c>
      <c r="G5" s="2">
        <v>30</v>
      </c>
      <c r="H5" s="91">
        <v>44</v>
      </c>
      <c r="I5" s="2">
        <v>36</v>
      </c>
      <c r="J5" s="208">
        <v>38</v>
      </c>
      <c r="K5" s="208">
        <v>39</v>
      </c>
      <c r="L5" s="208">
        <v>39</v>
      </c>
      <c r="M5" s="208">
        <v>40</v>
      </c>
      <c r="N5" s="208">
        <v>40</v>
      </c>
      <c r="O5" s="208">
        <v>41</v>
      </c>
      <c r="P5" s="208">
        <v>42</v>
      </c>
      <c r="Q5" s="208">
        <v>42</v>
      </c>
      <c r="R5" s="209">
        <f t="shared" si="0"/>
        <v>5.5555555555555552E-2</v>
      </c>
    </row>
    <row r="6" spans="2:18" ht="15.75" x14ac:dyDescent="0.25">
      <c r="B6" s="206">
        <v>4</v>
      </c>
      <c r="C6" s="207" t="s">
        <v>60</v>
      </c>
      <c r="D6" s="2">
        <v>334</v>
      </c>
      <c r="E6" s="2">
        <v>311</v>
      </c>
      <c r="F6" s="2">
        <v>304</v>
      </c>
      <c r="G6" s="2">
        <v>319</v>
      </c>
      <c r="H6" s="91">
        <v>315</v>
      </c>
      <c r="I6" s="2">
        <v>359</v>
      </c>
      <c r="J6" s="208">
        <v>345</v>
      </c>
      <c r="K6" s="208">
        <v>349</v>
      </c>
      <c r="L6" s="208">
        <v>353</v>
      </c>
      <c r="M6" s="208">
        <v>356</v>
      </c>
      <c r="N6" s="208">
        <v>360</v>
      </c>
      <c r="O6" s="208">
        <v>364</v>
      </c>
      <c r="P6" s="208">
        <v>368</v>
      </c>
      <c r="Q6" s="208">
        <v>372</v>
      </c>
      <c r="R6" s="209">
        <f t="shared" si="0"/>
        <v>-3.8997214484679667E-2</v>
      </c>
    </row>
    <row r="7" spans="2:18" ht="15.75" x14ac:dyDescent="0.25">
      <c r="B7" s="206">
        <v>5</v>
      </c>
      <c r="C7" s="207" t="s">
        <v>125</v>
      </c>
      <c r="D7" s="23">
        <v>30</v>
      </c>
      <c r="E7" s="23">
        <v>34</v>
      </c>
      <c r="F7" s="23">
        <v>41</v>
      </c>
      <c r="G7" s="23">
        <v>37</v>
      </c>
      <c r="H7" s="92">
        <v>58</v>
      </c>
      <c r="I7" s="23">
        <v>64</v>
      </c>
      <c r="J7" s="208">
        <v>67</v>
      </c>
      <c r="K7" s="208">
        <v>72</v>
      </c>
      <c r="L7" s="208">
        <v>76</v>
      </c>
      <c r="M7" s="208">
        <v>80</v>
      </c>
      <c r="N7" s="208">
        <v>85</v>
      </c>
      <c r="O7" s="208">
        <v>89</v>
      </c>
      <c r="P7" s="208">
        <v>93</v>
      </c>
      <c r="Q7" s="208">
        <v>97</v>
      </c>
      <c r="R7" s="209">
        <f t="shared" si="0"/>
        <v>4.6875E-2</v>
      </c>
    </row>
    <row r="8" spans="2:18" ht="15.75" x14ac:dyDescent="0.25">
      <c r="B8" s="206">
        <v>6</v>
      </c>
      <c r="C8" s="207" t="s">
        <v>128</v>
      </c>
      <c r="D8" s="2">
        <v>19</v>
      </c>
      <c r="E8" s="2">
        <v>18</v>
      </c>
      <c r="F8" s="2">
        <v>20</v>
      </c>
      <c r="G8" s="2">
        <v>18</v>
      </c>
      <c r="H8" s="2">
        <v>24</v>
      </c>
      <c r="I8" s="2">
        <v>29</v>
      </c>
      <c r="J8" s="208">
        <v>28</v>
      </c>
      <c r="K8" s="208">
        <v>30</v>
      </c>
      <c r="L8" s="208">
        <v>31</v>
      </c>
      <c r="M8" s="208">
        <v>33</v>
      </c>
      <c r="N8" s="208">
        <v>35</v>
      </c>
      <c r="O8" s="208">
        <v>36</v>
      </c>
      <c r="P8" s="208">
        <v>38</v>
      </c>
      <c r="Q8" s="208">
        <v>40</v>
      </c>
      <c r="R8" s="209">
        <f t="shared" si="0"/>
        <v>-3.4482758620689655E-2</v>
      </c>
    </row>
    <row r="9" spans="2:18" ht="15.75" x14ac:dyDescent="0.25">
      <c r="B9" s="206">
        <v>7</v>
      </c>
      <c r="C9" s="207" t="s">
        <v>130</v>
      </c>
      <c r="D9" s="2">
        <v>80</v>
      </c>
      <c r="E9" s="2">
        <v>70</v>
      </c>
      <c r="F9" s="2">
        <v>81</v>
      </c>
      <c r="G9" s="2">
        <v>76</v>
      </c>
      <c r="H9" s="91">
        <v>76</v>
      </c>
      <c r="I9" s="2">
        <v>78</v>
      </c>
      <c r="J9" s="208">
        <v>77</v>
      </c>
      <c r="K9" s="208">
        <v>77</v>
      </c>
      <c r="L9" s="208">
        <v>77</v>
      </c>
      <c r="M9" s="208">
        <v>77</v>
      </c>
      <c r="N9" s="208">
        <v>77</v>
      </c>
      <c r="O9" s="208">
        <v>77</v>
      </c>
      <c r="P9" s="208">
        <v>78</v>
      </c>
      <c r="Q9" s="208">
        <v>78</v>
      </c>
      <c r="R9" s="209">
        <f t="shared" si="0"/>
        <v>-1.282051282051282E-2</v>
      </c>
    </row>
    <row r="10" spans="2:18" ht="15.75" x14ac:dyDescent="0.25">
      <c r="B10" s="206">
        <v>8</v>
      </c>
      <c r="C10" s="207" t="s">
        <v>12</v>
      </c>
      <c r="D10" s="20">
        <v>72</v>
      </c>
      <c r="E10" s="20">
        <v>76</v>
      </c>
      <c r="F10" s="20">
        <v>78</v>
      </c>
      <c r="G10" s="20">
        <v>68</v>
      </c>
      <c r="H10" s="20">
        <v>75</v>
      </c>
      <c r="I10" s="20">
        <v>98</v>
      </c>
      <c r="J10" s="208">
        <v>93</v>
      </c>
      <c r="K10" s="208">
        <v>96</v>
      </c>
      <c r="L10" s="208">
        <v>99</v>
      </c>
      <c r="M10" s="208">
        <v>101</v>
      </c>
      <c r="N10" s="208">
        <v>104</v>
      </c>
      <c r="O10" s="208">
        <v>107</v>
      </c>
      <c r="P10" s="208">
        <v>110</v>
      </c>
      <c r="Q10" s="208">
        <v>113</v>
      </c>
      <c r="R10" s="209">
        <f t="shared" si="0"/>
        <v>-5.1020408163265307E-2</v>
      </c>
    </row>
    <row r="11" spans="2:18" ht="15.75" x14ac:dyDescent="0.25">
      <c r="B11" s="206">
        <v>9</v>
      </c>
      <c r="C11" s="207" t="s">
        <v>11</v>
      </c>
      <c r="D11" s="2">
        <v>146</v>
      </c>
      <c r="E11" s="2">
        <v>147</v>
      </c>
      <c r="F11" s="2">
        <v>152</v>
      </c>
      <c r="G11" s="2">
        <v>155</v>
      </c>
      <c r="H11" s="2">
        <v>187</v>
      </c>
      <c r="I11" s="2">
        <v>209</v>
      </c>
      <c r="J11" s="208">
        <v>211</v>
      </c>
      <c r="K11" s="208">
        <v>219</v>
      </c>
      <c r="L11" s="208">
        <v>227</v>
      </c>
      <c r="M11" s="208">
        <v>235</v>
      </c>
      <c r="N11" s="208">
        <v>243</v>
      </c>
      <c r="O11" s="208">
        <v>251</v>
      </c>
      <c r="P11" s="208">
        <v>260</v>
      </c>
      <c r="Q11" s="208">
        <v>268</v>
      </c>
      <c r="R11" s="209">
        <f t="shared" si="0"/>
        <v>9.5693779904306216E-3</v>
      </c>
    </row>
    <row r="12" spans="2:18" ht="15.75" x14ac:dyDescent="0.25">
      <c r="B12" s="206">
        <v>10</v>
      </c>
      <c r="C12" s="207" t="s">
        <v>66</v>
      </c>
      <c r="D12" s="2">
        <v>45</v>
      </c>
      <c r="E12" s="2">
        <v>40</v>
      </c>
      <c r="F12" s="2">
        <v>36</v>
      </c>
      <c r="G12" s="2">
        <v>33</v>
      </c>
      <c r="H12" s="91">
        <v>32</v>
      </c>
      <c r="I12" s="2">
        <v>41</v>
      </c>
      <c r="J12" s="208">
        <v>35</v>
      </c>
      <c r="K12" s="208">
        <v>35</v>
      </c>
      <c r="L12" s="208">
        <v>35</v>
      </c>
      <c r="M12" s="208">
        <v>34</v>
      </c>
      <c r="N12" s="208">
        <v>34</v>
      </c>
      <c r="O12" s="208">
        <v>33</v>
      </c>
      <c r="P12" s="208">
        <v>33</v>
      </c>
      <c r="Q12" s="208">
        <v>33</v>
      </c>
      <c r="R12" s="209">
        <f t="shared" si="0"/>
        <v>-0.14634146341463414</v>
      </c>
    </row>
    <row r="13" spans="2:18" ht="15.75" x14ac:dyDescent="0.25">
      <c r="B13" s="206">
        <v>11</v>
      </c>
      <c r="C13" s="207" t="s">
        <v>140</v>
      </c>
      <c r="D13" s="2">
        <v>12</v>
      </c>
      <c r="E13" s="2">
        <v>12</v>
      </c>
      <c r="F13" s="2">
        <v>15</v>
      </c>
      <c r="G13" s="2">
        <v>15</v>
      </c>
      <c r="H13" s="2">
        <v>20</v>
      </c>
      <c r="I13" s="2">
        <v>20</v>
      </c>
      <c r="J13" s="208">
        <v>22</v>
      </c>
      <c r="K13" s="208">
        <v>23</v>
      </c>
      <c r="L13" s="208">
        <v>24</v>
      </c>
      <c r="M13" s="208">
        <v>25</v>
      </c>
      <c r="N13" s="208">
        <v>26</v>
      </c>
      <c r="O13" s="208">
        <v>27</v>
      </c>
      <c r="P13" s="208">
        <v>28</v>
      </c>
      <c r="Q13" s="208">
        <v>29</v>
      </c>
      <c r="R13" s="209">
        <f t="shared" si="0"/>
        <v>0.1</v>
      </c>
    </row>
    <row r="14" spans="2:18" ht="15.75" x14ac:dyDescent="0.25">
      <c r="B14" s="206">
        <v>12</v>
      </c>
      <c r="C14" s="207" t="s">
        <v>142</v>
      </c>
      <c r="D14" s="23">
        <v>194</v>
      </c>
      <c r="E14" s="23">
        <v>191</v>
      </c>
      <c r="F14" s="23">
        <v>194</v>
      </c>
      <c r="G14" s="23">
        <v>193</v>
      </c>
      <c r="H14" s="23">
        <v>217</v>
      </c>
      <c r="I14" s="23">
        <v>248</v>
      </c>
      <c r="J14" s="208">
        <v>244</v>
      </c>
      <c r="K14" s="208">
        <v>251</v>
      </c>
      <c r="L14" s="208">
        <v>258</v>
      </c>
      <c r="M14" s="208">
        <v>265</v>
      </c>
      <c r="N14" s="208">
        <v>272</v>
      </c>
      <c r="O14" s="208">
        <v>279</v>
      </c>
      <c r="P14" s="208">
        <v>286</v>
      </c>
      <c r="Q14" s="208">
        <v>293</v>
      </c>
      <c r="R14" s="209">
        <f t="shared" si="0"/>
        <v>-1.6129032258064516E-2</v>
      </c>
    </row>
    <row r="15" spans="2:18" ht="15.75" x14ac:dyDescent="0.25">
      <c r="B15" s="206">
        <v>13</v>
      </c>
      <c r="C15" s="207" t="s">
        <v>68</v>
      </c>
      <c r="D15" s="2">
        <v>56</v>
      </c>
      <c r="E15" s="2">
        <v>56</v>
      </c>
      <c r="F15" s="2">
        <v>57</v>
      </c>
      <c r="G15" s="2">
        <v>58</v>
      </c>
      <c r="H15" s="91">
        <v>58</v>
      </c>
      <c r="I15" s="2">
        <v>67</v>
      </c>
      <c r="J15" s="208">
        <v>66</v>
      </c>
      <c r="K15" s="208">
        <v>67</v>
      </c>
      <c r="L15" s="208">
        <v>68</v>
      </c>
      <c r="M15" s="208">
        <v>70</v>
      </c>
      <c r="N15" s="208">
        <v>71</v>
      </c>
      <c r="O15" s="208">
        <v>72</v>
      </c>
      <c r="P15" s="208">
        <v>74</v>
      </c>
      <c r="Q15" s="208">
        <v>75</v>
      </c>
      <c r="R15" s="209">
        <f t="shared" si="0"/>
        <v>-1.4925373134328358E-2</v>
      </c>
    </row>
    <row r="16" spans="2:18" ht="15.75" x14ac:dyDescent="0.25">
      <c r="B16" s="206">
        <v>14</v>
      </c>
      <c r="C16" s="207" t="s">
        <v>54</v>
      </c>
      <c r="D16" s="2">
        <v>91</v>
      </c>
      <c r="E16" s="2">
        <v>98</v>
      </c>
      <c r="F16" s="2">
        <v>100</v>
      </c>
      <c r="G16" s="2">
        <v>94</v>
      </c>
      <c r="H16" s="2">
        <v>101</v>
      </c>
      <c r="I16" s="2">
        <v>106</v>
      </c>
      <c r="J16" s="208">
        <v>109</v>
      </c>
      <c r="K16" s="208">
        <v>111</v>
      </c>
      <c r="L16" s="208">
        <v>112</v>
      </c>
      <c r="M16" s="208">
        <v>113</v>
      </c>
      <c r="N16" s="208">
        <v>115</v>
      </c>
      <c r="O16" s="208">
        <v>117</v>
      </c>
      <c r="P16" s="208">
        <v>119</v>
      </c>
      <c r="Q16" s="208">
        <v>121</v>
      </c>
      <c r="R16" s="209">
        <f t="shared" si="0"/>
        <v>2.8301886792452831E-2</v>
      </c>
    </row>
    <row r="17" spans="2:18" ht="15.75" x14ac:dyDescent="0.25">
      <c r="B17" s="206">
        <v>15</v>
      </c>
      <c r="C17" s="207" t="s">
        <v>9</v>
      </c>
      <c r="D17" s="20">
        <v>35</v>
      </c>
      <c r="E17" s="20">
        <v>30</v>
      </c>
      <c r="F17" s="20">
        <v>40</v>
      </c>
      <c r="G17" s="20">
        <v>38</v>
      </c>
      <c r="H17" s="20">
        <v>46</v>
      </c>
      <c r="I17" s="20">
        <v>51</v>
      </c>
      <c r="J17" s="208">
        <v>52</v>
      </c>
      <c r="K17" s="208">
        <v>55</v>
      </c>
      <c r="L17" s="208">
        <v>57</v>
      </c>
      <c r="M17" s="208">
        <v>59</v>
      </c>
      <c r="N17" s="208">
        <v>61</v>
      </c>
      <c r="O17" s="208">
        <v>64</v>
      </c>
      <c r="P17" s="208">
        <v>66</v>
      </c>
      <c r="Q17" s="208">
        <v>68</v>
      </c>
      <c r="R17" s="209">
        <f t="shared" si="0"/>
        <v>1.9607843137254902E-2</v>
      </c>
    </row>
    <row r="18" spans="2:18" ht="15.75" x14ac:dyDescent="0.25">
      <c r="B18" s="206">
        <v>16</v>
      </c>
      <c r="C18" s="207" t="s">
        <v>151</v>
      </c>
      <c r="D18" s="2">
        <v>206</v>
      </c>
      <c r="E18" s="2">
        <v>180</v>
      </c>
      <c r="F18" s="2">
        <v>180</v>
      </c>
      <c r="G18" s="2">
        <v>188</v>
      </c>
      <c r="H18" s="91">
        <v>196</v>
      </c>
      <c r="I18" s="2">
        <v>235</v>
      </c>
      <c r="J18" s="208">
        <v>223</v>
      </c>
      <c r="K18" s="208">
        <v>228</v>
      </c>
      <c r="L18" s="208">
        <v>234</v>
      </c>
      <c r="M18" s="208">
        <v>340</v>
      </c>
      <c r="N18" s="208">
        <v>246</v>
      </c>
      <c r="O18" s="208">
        <v>252</v>
      </c>
      <c r="P18" s="208">
        <v>259</v>
      </c>
      <c r="Q18" s="208">
        <v>265</v>
      </c>
      <c r="R18" s="209">
        <f t="shared" si="0"/>
        <v>-5.106382978723404E-2</v>
      </c>
    </row>
    <row r="19" spans="2:18" ht="15.75" x14ac:dyDescent="0.25">
      <c r="B19" s="206">
        <v>17</v>
      </c>
      <c r="C19" s="207" t="s">
        <v>153</v>
      </c>
      <c r="D19" s="15">
        <v>79</v>
      </c>
      <c r="E19" s="37">
        <v>80</v>
      </c>
      <c r="F19" s="15">
        <v>81</v>
      </c>
      <c r="G19" s="15">
        <v>77</v>
      </c>
      <c r="H19" s="15">
        <v>84</v>
      </c>
      <c r="I19" s="15">
        <v>95</v>
      </c>
      <c r="J19" s="208">
        <v>93</v>
      </c>
      <c r="K19" s="208">
        <v>95</v>
      </c>
      <c r="L19" s="208">
        <v>98</v>
      </c>
      <c r="M19" s="208">
        <v>100</v>
      </c>
      <c r="N19" s="208">
        <v>102</v>
      </c>
      <c r="O19" s="208">
        <v>105</v>
      </c>
      <c r="P19" s="208">
        <v>107</v>
      </c>
      <c r="Q19" s="208">
        <v>110</v>
      </c>
      <c r="R19" s="209">
        <f t="shared" si="0"/>
        <v>-2.1052631578947368E-2</v>
      </c>
    </row>
    <row r="20" spans="2:18" ht="15.75" x14ac:dyDescent="0.25">
      <c r="B20" s="206">
        <v>18</v>
      </c>
      <c r="C20" s="207" t="s">
        <v>55</v>
      </c>
      <c r="D20" s="20">
        <v>17</v>
      </c>
      <c r="E20" s="20">
        <v>21</v>
      </c>
      <c r="F20" s="20">
        <v>23</v>
      </c>
      <c r="G20" s="20">
        <v>22</v>
      </c>
      <c r="H20" s="20">
        <v>20</v>
      </c>
      <c r="I20" s="20">
        <v>33</v>
      </c>
      <c r="J20" s="208">
        <v>32</v>
      </c>
      <c r="K20" s="208">
        <v>33</v>
      </c>
      <c r="L20" s="208">
        <v>34</v>
      </c>
      <c r="M20" s="208">
        <v>35</v>
      </c>
      <c r="N20" s="208">
        <v>36</v>
      </c>
      <c r="O20" s="208">
        <v>36</v>
      </c>
      <c r="P20" s="208">
        <v>37</v>
      </c>
      <c r="Q20" s="208">
        <v>38</v>
      </c>
      <c r="R20" s="209">
        <f>(J20-I20)/I20</f>
        <v>-3.0303030303030304E-2</v>
      </c>
    </row>
    <row r="21" spans="2:18" ht="15.75" x14ac:dyDescent="0.25">
      <c r="B21" s="206">
        <v>19</v>
      </c>
      <c r="C21" s="210" t="s">
        <v>157</v>
      </c>
      <c r="D21" s="16">
        <v>121</v>
      </c>
      <c r="E21" s="16">
        <v>129</v>
      </c>
      <c r="F21" s="16">
        <v>131</v>
      </c>
      <c r="G21" s="16">
        <v>136</v>
      </c>
      <c r="H21" s="16">
        <v>130</v>
      </c>
      <c r="I21" s="16">
        <v>159</v>
      </c>
      <c r="J21" s="208">
        <v>157</v>
      </c>
      <c r="K21" s="208">
        <v>161</v>
      </c>
      <c r="L21" s="208">
        <v>165</v>
      </c>
      <c r="M21" s="208">
        <v>169</v>
      </c>
      <c r="N21" s="208">
        <v>173</v>
      </c>
      <c r="O21" s="208">
        <v>177</v>
      </c>
      <c r="P21" s="208">
        <v>182</v>
      </c>
      <c r="Q21" s="208">
        <v>186</v>
      </c>
      <c r="R21" s="209">
        <f t="shared" si="0"/>
        <v>-1.2578616352201259E-2</v>
      </c>
    </row>
    <row r="22" spans="2:18" ht="15.75" x14ac:dyDescent="0.25">
      <c r="B22" s="206">
        <v>20</v>
      </c>
      <c r="C22" s="207" t="s">
        <v>3</v>
      </c>
      <c r="D22" s="20">
        <v>132</v>
      </c>
      <c r="E22" s="20">
        <v>134</v>
      </c>
      <c r="F22" s="20">
        <v>147</v>
      </c>
      <c r="G22" s="20">
        <v>134</v>
      </c>
      <c r="H22" s="20">
        <v>135</v>
      </c>
      <c r="I22" s="20">
        <v>191</v>
      </c>
      <c r="J22" s="208">
        <v>181</v>
      </c>
      <c r="K22" s="208">
        <v>188</v>
      </c>
      <c r="L22" s="208">
        <v>194</v>
      </c>
      <c r="M22" s="208">
        <v>201</v>
      </c>
      <c r="N22" s="208">
        <v>207</v>
      </c>
      <c r="O22" s="208">
        <v>214</v>
      </c>
      <c r="P22" s="208">
        <v>220</v>
      </c>
      <c r="Q22" s="208">
        <v>227</v>
      </c>
      <c r="R22" s="209">
        <f t="shared" si="0"/>
        <v>-5.2356020942408377E-2</v>
      </c>
    </row>
    <row r="23" spans="2:18" ht="15.75" x14ac:dyDescent="0.25">
      <c r="B23" s="206">
        <v>21</v>
      </c>
      <c r="C23" s="207" t="s">
        <v>5</v>
      </c>
      <c r="D23" s="15">
        <v>42</v>
      </c>
      <c r="E23" s="15">
        <v>40</v>
      </c>
      <c r="F23" s="15">
        <v>41</v>
      </c>
      <c r="G23" s="15">
        <v>33</v>
      </c>
      <c r="H23" s="15">
        <v>37</v>
      </c>
      <c r="I23" s="15">
        <v>38</v>
      </c>
      <c r="J23" s="208">
        <v>36</v>
      </c>
      <c r="K23" s="208">
        <v>35</v>
      </c>
      <c r="L23" s="208">
        <v>35</v>
      </c>
      <c r="M23" s="208">
        <v>34</v>
      </c>
      <c r="N23" s="208">
        <v>34</v>
      </c>
      <c r="O23" s="208">
        <v>33</v>
      </c>
      <c r="P23" s="208">
        <v>33</v>
      </c>
      <c r="Q23" s="208">
        <v>32</v>
      </c>
      <c r="R23" s="209">
        <f t="shared" si="0"/>
        <v>-5.2631578947368418E-2</v>
      </c>
    </row>
    <row r="24" spans="2:18" ht="15.75" x14ac:dyDescent="0.25">
      <c r="B24" s="206">
        <v>22</v>
      </c>
      <c r="C24" s="207" t="s">
        <v>6</v>
      </c>
      <c r="D24" s="20">
        <v>22</v>
      </c>
      <c r="E24" s="20">
        <v>27</v>
      </c>
      <c r="F24" s="20">
        <v>25</v>
      </c>
      <c r="G24" s="20">
        <v>23</v>
      </c>
      <c r="H24" s="20">
        <v>36</v>
      </c>
      <c r="I24" s="20">
        <v>40</v>
      </c>
      <c r="J24" s="208">
        <v>41</v>
      </c>
      <c r="K24" s="208">
        <v>50</v>
      </c>
      <c r="L24" s="208">
        <v>52</v>
      </c>
      <c r="M24" s="208">
        <v>55</v>
      </c>
      <c r="N24" s="208">
        <v>57</v>
      </c>
      <c r="O24" s="208">
        <v>60</v>
      </c>
      <c r="P24" s="208">
        <v>62</v>
      </c>
      <c r="Q24" s="208">
        <v>65</v>
      </c>
      <c r="R24" s="209">
        <f t="shared" si="0"/>
        <v>2.5000000000000001E-2</v>
      </c>
    </row>
    <row r="25" spans="2:18" ht="15.75" x14ac:dyDescent="0.25">
      <c r="B25" s="206">
        <v>23</v>
      </c>
      <c r="C25" s="207" t="s">
        <v>52</v>
      </c>
      <c r="D25" s="2">
        <v>17</v>
      </c>
      <c r="E25" s="2">
        <v>21</v>
      </c>
      <c r="F25" s="2">
        <v>22</v>
      </c>
      <c r="G25" s="2">
        <v>19</v>
      </c>
      <c r="H25" s="2">
        <v>15</v>
      </c>
      <c r="I25" s="2">
        <v>31</v>
      </c>
      <c r="J25" s="208">
        <v>28</v>
      </c>
      <c r="K25" s="208">
        <v>29</v>
      </c>
      <c r="L25" s="208">
        <v>31</v>
      </c>
      <c r="M25" s="208">
        <v>32</v>
      </c>
      <c r="N25" s="208">
        <v>33</v>
      </c>
      <c r="O25" s="208">
        <v>35</v>
      </c>
      <c r="P25" s="208">
        <v>36</v>
      </c>
      <c r="Q25" s="208">
        <v>37</v>
      </c>
      <c r="R25" s="209">
        <f>(J25-I25)/I25</f>
        <v>-9.6774193548387094E-2</v>
      </c>
    </row>
    <row r="26" spans="2:18" ht="15.75" x14ac:dyDescent="0.25">
      <c r="B26" s="206">
        <v>24</v>
      </c>
      <c r="C26" s="207" t="s">
        <v>168</v>
      </c>
      <c r="D26" s="20">
        <v>138</v>
      </c>
      <c r="E26" s="20">
        <v>147</v>
      </c>
      <c r="F26" s="20">
        <v>146</v>
      </c>
      <c r="G26" s="20">
        <v>151</v>
      </c>
      <c r="H26" s="20">
        <v>162</v>
      </c>
      <c r="I26" s="20">
        <v>196</v>
      </c>
      <c r="J26" s="208">
        <v>194</v>
      </c>
      <c r="K26" s="208">
        <v>201</v>
      </c>
      <c r="L26" s="208">
        <v>208</v>
      </c>
      <c r="M26" s="208">
        <v>214</v>
      </c>
      <c r="N26" s="208">
        <v>221</v>
      </c>
      <c r="O26" s="208">
        <v>228</v>
      </c>
      <c r="P26" s="208">
        <v>235</v>
      </c>
      <c r="Q26" s="208">
        <v>342</v>
      </c>
      <c r="R26" s="209">
        <f t="shared" si="0"/>
        <v>-1.020408163265306E-2</v>
      </c>
    </row>
    <row r="27" spans="2:18" ht="15.75" x14ac:dyDescent="0.25">
      <c r="B27" s="206">
        <v>25</v>
      </c>
      <c r="C27" s="207" t="s">
        <v>70</v>
      </c>
      <c r="D27" s="2">
        <v>87</v>
      </c>
      <c r="E27" s="2">
        <v>90</v>
      </c>
      <c r="F27" s="2">
        <v>98</v>
      </c>
      <c r="G27" s="2">
        <v>103</v>
      </c>
      <c r="H27" s="91">
        <v>110</v>
      </c>
      <c r="I27" s="2">
        <v>131</v>
      </c>
      <c r="J27" s="208">
        <v>133</v>
      </c>
      <c r="K27" s="208">
        <v>138</v>
      </c>
      <c r="L27" s="208">
        <v>143</v>
      </c>
      <c r="M27" s="208">
        <v>149</v>
      </c>
      <c r="N27" s="208">
        <v>154</v>
      </c>
      <c r="O27" s="208">
        <v>159</v>
      </c>
      <c r="P27" s="208">
        <v>165</v>
      </c>
      <c r="Q27" s="208">
        <v>170</v>
      </c>
      <c r="R27" s="209">
        <f t="shared" si="0"/>
        <v>1.5267175572519083E-2</v>
      </c>
    </row>
    <row r="28" spans="2:18" ht="15.75" x14ac:dyDescent="0.25">
      <c r="B28" s="206">
        <v>26</v>
      </c>
      <c r="C28" s="207" t="s">
        <v>173</v>
      </c>
      <c r="D28" s="2">
        <v>49</v>
      </c>
      <c r="E28" s="2">
        <v>44</v>
      </c>
      <c r="F28" s="2">
        <v>45</v>
      </c>
      <c r="G28" s="2">
        <v>49</v>
      </c>
      <c r="H28" s="91">
        <v>58</v>
      </c>
      <c r="I28" s="2">
        <v>65</v>
      </c>
      <c r="J28" s="208">
        <v>65</v>
      </c>
      <c r="K28" s="208">
        <v>67</v>
      </c>
      <c r="L28" s="208">
        <v>68</v>
      </c>
      <c r="M28" s="208">
        <v>70</v>
      </c>
      <c r="N28" s="208">
        <v>71</v>
      </c>
      <c r="O28" s="208">
        <v>72</v>
      </c>
      <c r="P28" s="208">
        <v>73</v>
      </c>
      <c r="Q28" s="208">
        <v>74</v>
      </c>
      <c r="R28" s="209">
        <f t="shared" si="0"/>
        <v>0</v>
      </c>
    </row>
    <row r="29" spans="2:18" ht="15.75" x14ac:dyDescent="0.25">
      <c r="B29" s="206">
        <v>27</v>
      </c>
      <c r="C29" s="207" t="s">
        <v>8</v>
      </c>
      <c r="D29" s="15">
        <v>64</v>
      </c>
      <c r="E29" s="15">
        <v>78</v>
      </c>
      <c r="F29" s="15">
        <v>73</v>
      </c>
      <c r="G29" s="15">
        <v>69</v>
      </c>
      <c r="H29" s="15">
        <v>67</v>
      </c>
      <c r="I29" s="15">
        <v>102</v>
      </c>
      <c r="J29" s="208">
        <v>96</v>
      </c>
      <c r="K29" s="208">
        <v>100</v>
      </c>
      <c r="L29" s="208">
        <v>103</v>
      </c>
      <c r="M29" s="208">
        <v>107</v>
      </c>
      <c r="N29" s="208">
        <v>111</v>
      </c>
      <c r="O29" s="208">
        <v>114</v>
      </c>
      <c r="P29" s="208">
        <v>118</v>
      </c>
      <c r="Q29" s="208">
        <v>122</v>
      </c>
      <c r="R29" s="209">
        <f t="shared" si="0"/>
        <v>-5.8823529411764705E-2</v>
      </c>
    </row>
  </sheetData>
  <conditionalFormatting sqref="R3:R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9"/>
  <sheetViews>
    <sheetView zoomScale="90" zoomScaleNormal="90" workbookViewId="0">
      <selection activeCell="I17" sqref="I17"/>
    </sheetView>
  </sheetViews>
  <sheetFormatPr defaultRowHeight="15" x14ac:dyDescent="0.25"/>
  <cols>
    <col min="3" max="3" width="24.42578125" customWidth="1"/>
    <col min="4" max="5" width="26.140625" customWidth="1"/>
    <col min="6" max="6" width="9.140625" customWidth="1"/>
    <col min="7" max="7" width="11.85546875" customWidth="1"/>
    <col min="8" max="8" width="17" customWidth="1"/>
  </cols>
  <sheetData>
    <row r="2" spans="2:19" x14ac:dyDescent="0.25">
      <c r="F2" s="220"/>
      <c r="G2" s="220"/>
      <c r="H2" s="220"/>
      <c r="I2" s="221"/>
    </row>
    <row r="3" spans="2:19" ht="57" x14ac:dyDescent="0.25">
      <c r="B3" s="76" t="s">
        <v>0</v>
      </c>
      <c r="C3" s="76" t="s">
        <v>49</v>
      </c>
      <c r="D3" s="76" t="s">
        <v>2</v>
      </c>
      <c r="E3" s="76" t="s">
        <v>51</v>
      </c>
      <c r="F3" s="76" t="s">
        <v>17</v>
      </c>
      <c r="G3" s="76" t="s">
        <v>49</v>
      </c>
      <c r="H3" s="76" t="s">
        <v>44</v>
      </c>
      <c r="I3" s="99" t="s">
        <v>45</v>
      </c>
    </row>
    <row r="4" spans="2:19" ht="15.75" x14ac:dyDescent="0.25">
      <c r="B4" s="20">
        <v>2015</v>
      </c>
      <c r="C4" s="74">
        <v>872584</v>
      </c>
      <c r="D4" s="194" t="s">
        <v>71</v>
      </c>
      <c r="E4" s="176">
        <v>30545</v>
      </c>
      <c r="F4" s="20">
        <v>1.9</v>
      </c>
      <c r="G4" s="74">
        <v>872584</v>
      </c>
      <c r="H4" s="84">
        <f>(D4+E4)+(G4*0.019)</f>
        <v>50551.096000000005</v>
      </c>
      <c r="I4" s="2">
        <v>87</v>
      </c>
    </row>
    <row r="5" spans="2:19" ht="15.75" x14ac:dyDescent="0.25">
      <c r="B5" s="20">
        <v>2016</v>
      </c>
      <c r="C5" s="96">
        <v>972692</v>
      </c>
      <c r="D5" s="51">
        <v>4296</v>
      </c>
      <c r="E5" s="176">
        <v>30479</v>
      </c>
      <c r="F5" s="20">
        <v>1.9</v>
      </c>
      <c r="G5" s="96">
        <v>972692</v>
      </c>
      <c r="H5" s="84">
        <f t="shared" ref="H5:H9" si="0">(D5+E5)+(G5*0.019)</f>
        <v>53256.148000000001</v>
      </c>
      <c r="I5" s="2">
        <v>90</v>
      </c>
    </row>
    <row r="6" spans="2:19" ht="15.75" x14ac:dyDescent="0.25">
      <c r="B6" s="20">
        <v>2017</v>
      </c>
      <c r="C6" s="96">
        <v>1030577</v>
      </c>
      <c r="D6" s="94">
        <v>4290</v>
      </c>
      <c r="E6" s="176">
        <v>31861</v>
      </c>
      <c r="F6" s="20">
        <v>1.9</v>
      </c>
      <c r="G6" s="96">
        <v>1030577</v>
      </c>
      <c r="H6" s="84">
        <f t="shared" si="0"/>
        <v>55731.963000000003</v>
      </c>
      <c r="I6" s="2">
        <v>98</v>
      </c>
    </row>
    <row r="7" spans="2:19" ht="15.75" x14ac:dyDescent="0.25">
      <c r="B7" s="20">
        <v>2018</v>
      </c>
      <c r="C7" s="95">
        <v>1078384</v>
      </c>
      <c r="D7" s="98">
        <v>4707</v>
      </c>
      <c r="E7" s="176">
        <v>35893</v>
      </c>
      <c r="F7" s="20">
        <v>1.9</v>
      </c>
      <c r="G7" s="95">
        <v>1078384</v>
      </c>
      <c r="H7" s="84">
        <f t="shared" si="0"/>
        <v>61089.296000000002</v>
      </c>
      <c r="I7" s="2">
        <v>103</v>
      </c>
    </row>
    <row r="8" spans="2:19" s="38" customFormat="1" ht="15.75" x14ac:dyDescent="0.25">
      <c r="B8" s="36">
        <v>2019</v>
      </c>
      <c r="C8" s="89">
        <v>1136156</v>
      </c>
      <c r="D8" s="94">
        <v>4031</v>
      </c>
      <c r="E8" s="176">
        <v>37932</v>
      </c>
      <c r="F8" s="36">
        <v>1.9</v>
      </c>
      <c r="G8" s="89">
        <v>1136156</v>
      </c>
      <c r="H8" s="84">
        <f t="shared" si="0"/>
        <v>63549.964</v>
      </c>
      <c r="I8" s="91">
        <v>110</v>
      </c>
      <c r="K8"/>
      <c r="L8"/>
      <c r="M8"/>
      <c r="N8"/>
      <c r="O8"/>
      <c r="P8"/>
      <c r="Q8"/>
      <c r="R8"/>
      <c r="S8"/>
    </row>
    <row r="9" spans="2:19" ht="15.75" x14ac:dyDescent="0.25">
      <c r="B9" s="20">
        <v>2022</v>
      </c>
      <c r="C9" s="96">
        <v>1354556</v>
      </c>
      <c r="D9" s="51">
        <v>2241</v>
      </c>
      <c r="E9" s="176">
        <v>41359</v>
      </c>
      <c r="F9" s="20">
        <v>1.9</v>
      </c>
      <c r="G9" s="96">
        <v>1354556</v>
      </c>
      <c r="H9" s="84">
        <f t="shared" si="0"/>
        <v>69336.563999999998</v>
      </c>
      <c r="I9" s="2">
        <v>131</v>
      </c>
    </row>
    <row r="10" spans="2:19" x14ac:dyDescent="0.25">
      <c r="B10" s="23">
        <v>2023</v>
      </c>
      <c r="C10" s="12">
        <v>1379000</v>
      </c>
      <c r="D10" s="22"/>
      <c r="E10" s="22"/>
      <c r="G10" s="12">
        <v>1379000</v>
      </c>
      <c r="H10" s="21">
        <f>$L$28+$L$29*G10</f>
        <v>71574.967655812303</v>
      </c>
      <c r="I10" s="82">
        <f>$C$41+$C$42*G10+$C$43*H10</f>
        <v>132.56076344832726</v>
      </c>
    </row>
    <row r="11" spans="2:19" x14ac:dyDescent="0.25">
      <c r="B11" s="23">
        <v>2024</v>
      </c>
      <c r="C11" s="12">
        <v>1434000</v>
      </c>
      <c r="D11" s="22"/>
      <c r="E11" s="22"/>
      <c r="G11" s="12">
        <v>1434000</v>
      </c>
      <c r="H11" s="21">
        <f t="shared" ref="H11:H17" si="1">$L$28+$L$29*G11</f>
        <v>73858.34445690646</v>
      </c>
      <c r="I11" s="82">
        <f t="shared" ref="I11:I17" si="2">$C$41+$C$42*G11+$C$43*H11</f>
        <v>137.86408847204063</v>
      </c>
    </row>
    <row r="12" spans="2:19" x14ac:dyDescent="0.25">
      <c r="B12" s="23">
        <v>2025</v>
      </c>
      <c r="C12" s="12">
        <v>1490000</v>
      </c>
      <c r="D12" s="88"/>
      <c r="E12" s="88"/>
      <c r="G12" s="12">
        <v>1490000</v>
      </c>
      <c r="H12" s="21">
        <f t="shared" si="1"/>
        <v>76183.237199838681</v>
      </c>
      <c r="I12" s="82">
        <f t="shared" si="2"/>
        <v>143.26383758709429</v>
      </c>
      <c r="K12" t="s">
        <v>18</v>
      </c>
    </row>
    <row r="13" spans="2:19" ht="15.75" thickBot="1" x14ac:dyDescent="0.3">
      <c r="B13" s="23">
        <v>2026</v>
      </c>
      <c r="C13" s="12">
        <v>1545000</v>
      </c>
      <c r="D13" s="22"/>
      <c r="E13" s="22"/>
      <c r="G13" s="12">
        <v>1545000</v>
      </c>
      <c r="H13" s="21">
        <f t="shared" si="1"/>
        <v>78466.614000932837</v>
      </c>
      <c r="I13" s="82">
        <f t="shared" si="2"/>
        <v>148.56716261080766</v>
      </c>
    </row>
    <row r="14" spans="2:19" x14ac:dyDescent="0.25">
      <c r="B14" s="23">
        <v>2027</v>
      </c>
      <c r="C14" s="12">
        <v>1601000</v>
      </c>
      <c r="D14" s="22"/>
      <c r="E14" s="22"/>
      <c r="G14" s="12">
        <v>1601000</v>
      </c>
      <c r="H14" s="21">
        <f t="shared" si="1"/>
        <v>80791.506743865059</v>
      </c>
      <c r="I14" s="82">
        <f t="shared" si="2"/>
        <v>153.96691172586128</v>
      </c>
      <c r="K14" s="201" t="s">
        <v>19</v>
      </c>
      <c r="L14" s="201"/>
    </row>
    <row r="15" spans="2:19" x14ac:dyDescent="0.25">
      <c r="B15" s="23">
        <v>2028</v>
      </c>
      <c r="C15" s="12">
        <v>1656000</v>
      </c>
      <c r="D15" s="22"/>
      <c r="E15" s="22"/>
      <c r="G15" s="12">
        <v>1656000</v>
      </c>
      <c r="H15" s="21">
        <f t="shared" si="1"/>
        <v>83074.883544959215</v>
      </c>
      <c r="I15" s="82">
        <f t="shared" si="2"/>
        <v>159.27023674957468</v>
      </c>
      <c r="K15" s="198" t="s">
        <v>20</v>
      </c>
      <c r="L15" s="198">
        <v>0.97184362046218498</v>
      </c>
    </row>
    <row r="16" spans="2:19" x14ac:dyDescent="0.25">
      <c r="B16" s="23">
        <v>2029</v>
      </c>
      <c r="C16" s="12">
        <v>1712000</v>
      </c>
      <c r="D16" s="22"/>
      <c r="E16" s="22"/>
      <c r="G16" s="12">
        <v>1712000</v>
      </c>
      <c r="H16" s="21">
        <f t="shared" si="1"/>
        <v>85399.776287891436</v>
      </c>
      <c r="I16" s="82">
        <f t="shared" si="2"/>
        <v>164.6699858646283</v>
      </c>
      <c r="K16" s="198" t="s">
        <v>21</v>
      </c>
      <c r="L16" s="198">
        <v>0.94448002263304742</v>
      </c>
    </row>
    <row r="17" spans="2:19" x14ac:dyDescent="0.25">
      <c r="B17" s="23">
        <v>2030</v>
      </c>
      <c r="C17" s="12">
        <v>1768000</v>
      </c>
      <c r="D17" s="22"/>
      <c r="E17" s="22"/>
      <c r="G17" s="12">
        <v>1768000</v>
      </c>
      <c r="H17" s="21">
        <f t="shared" si="1"/>
        <v>87724.669030823687</v>
      </c>
      <c r="I17" s="82">
        <f t="shared" si="2"/>
        <v>170.06973497968193</v>
      </c>
      <c r="K17" s="198" t="s">
        <v>22</v>
      </c>
      <c r="L17" s="198">
        <v>0.93060002829130939</v>
      </c>
    </row>
    <row r="18" spans="2:19" x14ac:dyDescent="0.25">
      <c r="K18" s="198" t="s">
        <v>23</v>
      </c>
      <c r="L18" s="198">
        <v>1851.3149677255301</v>
      </c>
    </row>
    <row r="19" spans="2:19" ht="15.75" thickBot="1" x14ac:dyDescent="0.3">
      <c r="K19" s="199" t="s">
        <v>24</v>
      </c>
      <c r="L19" s="199">
        <v>6</v>
      </c>
    </row>
    <row r="20" spans="2:19" x14ac:dyDescent="0.25">
      <c r="B20" s="5" t="s">
        <v>70</v>
      </c>
    </row>
    <row r="21" spans="2:19" ht="15.75" thickBot="1" x14ac:dyDescent="0.3">
      <c r="K21" t="s">
        <v>25</v>
      </c>
    </row>
    <row r="22" spans="2:19" x14ac:dyDescent="0.25">
      <c r="K22" s="200"/>
      <c r="L22" s="200" t="s">
        <v>30</v>
      </c>
      <c r="M22" s="200" t="s">
        <v>31</v>
      </c>
      <c r="N22" s="200" t="s">
        <v>32</v>
      </c>
      <c r="O22" s="200" t="s">
        <v>33</v>
      </c>
      <c r="P22" s="200" t="s">
        <v>34</v>
      </c>
    </row>
    <row r="23" spans="2:19" x14ac:dyDescent="0.25">
      <c r="K23" s="198" t="s">
        <v>26</v>
      </c>
      <c r="L23" s="198">
        <v>1</v>
      </c>
      <c r="M23" s="198">
        <v>233219098.34143838</v>
      </c>
      <c r="N23" s="198">
        <v>233219098.34143838</v>
      </c>
      <c r="O23" s="198">
        <v>68.046138880109524</v>
      </c>
      <c r="P23" s="198">
        <v>1.1780116316761509E-3</v>
      </c>
    </row>
    <row r="24" spans="2:19" x14ac:dyDescent="0.25">
      <c r="K24" s="198" t="s">
        <v>27</v>
      </c>
      <c r="L24" s="198">
        <v>4</v>
      </c>
      <c r="M24" s="198">
        <v>13709468.438898321</v>
      </c>
      <c r="N24" s="198">
        <v>3427367.1097245803</v>
      </c>
      <c r="O24" s="198"/>
      <c r="P24" s="198"/>
    </row>
    <row r="25" spans="2:19" ht="15.75" thickBot="1" x14ac:dyDescent="0.3">
      <c r="B25" t="s">
        <v>18</v>
      </c>
      <c r="K25" s="199" t="s">
        <v>28</v>
      </c>
      <c r="L25" s="199">
        <v>5</v>
      </c>
      <c r="M25" s="199">
        <v>246928566.78033671</v>
      </c>
      <c r="N25" s="199"/>
      <c r="O25" s="199"/>
      <c r="P25" s="199"/>
    </row>
    <row r="26" spans="2:19" ht="15.75" thickBot="1" x14ac:dyDescent="0.3"/>
    <row r="27" spans="2:19" x14ac:dyDescent="0.25">
      <c r="B27" s="201" t="s">
        <v>19</v>
      </c>
      <c r="C27" s="201"/>
      <c r="K27" s="200"/>
      <c r="L27" s="200" t="s">
        <v>35</v>
      </c>
      <c r="M27" s="200" t="s">
        <v>23</v>
      </c>
      <c r="N27" s="200" t="s">
        <v>36</v>
      </c>
      <c r="O27" s="200" t="s">
        <v>37</v>
      </c>
      <c r="P27" s="200" t="s">
        <v>38</v>
      </c>
      <c r="Q27" s="200" t="s">
        <v>39</v>
      </c>
      <c r="R27" s="200" t="s">
        <v>40</v>
      </c>
      <c r="S27" s="200" t="s">
        <v>41</v>
      </c>
    </row>
    <row r="28" spans="2:19" x14ac:dyDescent="0.25">
      <c r="B28" s="198" t="s">
        <v>20</v>
      </c>
      <c r="C28" s="198">
        <v>0.99129297654185922</v>
      </c>
      <c r="K28" s="198" t="s">
        <v>29</v>
      </c>
      <c r="L28" s="198">
        <v>14324.483861106179</v>
      </c>
      <c r="M28" s="198">
        <v>5458.6429778541806</v>
      </c>
      <c r="N28" s="198">
        <v>2.6241840543924351</v>
      </c>
      <c r="O28" s="198">
        <v>5.8541922285118057E-2</v>
      </c>
      <c r="P28" s="198">
        <v>-831.13871577936879</v>
      </c>
      <c r="Q28" s="198">
        <v>29480.106437991726</v>
      </c>
      <c r="R28" s="198">
        <v>-831.13871577936879</v>
      </c>
      <c r="S28" s="198">
        <v>29480.106437991726</v>
      </c>
    </row>
    <row r="29" spans="2:19" ht="15.75" thickBot="1" x14ac:dyDescent="0.3">
      <c r="B29" s="198" t="s">
        <v>21</v>
      </c>
      <c r="C29" s="198">
        <v>0.98266176534121907</v>
      </c>
      <c r="K29" s="199" t="s">
        <v>42</v>
      </c>
      <c r="L29" s="199">
        <v>4.1515941838075505E-2</v>
      </c>
      <c r="M29" s="199">
        <v>5.0328403172167817E-3</v>
      </c>
      <c r="N29" s="199">
        <v>8.2490083573790596</v>
      </c>
      <c r="O29" s="199">
        <v>1.17801163167615E-3</v>
      </c>
      <c r="P29" s="199">
        <v>2.7542536974096862E-2</v>
      </c>
      <c r="Q29" s="199">
        <v>5.5489346702054146E-2</v>
      </c>
      <c r="R29" s="199">
        <v>2.7542536974096862E-2</v>
      </c>
      <c r="S29" s="199">
        <v>5.5489346702054146E-2</v>
      </c>
    </row>
    <row r="30" spans="2:19" x14ac:dyDescent="0.25">
      <c r="B30" s="198" t="s">
        <v>22</v>
      </c>
      <c r="C30" s="198">
        <v>0.97110294223536509</v>
      </c>
    </row>
    <row r="31" spans="2:19" x14ac:dyDescent="0.25">
      <c r="B31" s="198" t="s">
        <v>23</v>
      </c>
      <c r="C31" s="198">
        <v>2.722870137767583</v>
      </c>
    </row>
    <row r="32" spans="2:19" ht="15.75" thickBot="1" x14ac:dyDescent="0.3">
      <c r="B32" s="199" t="s">
        <v>24</v>
      </c>
      <c r="C32" s="199">
        <v>6</v>
      </c>
    </row>
    <row r="34" spans="2:11" ht="15.75" thickBot="1" x14ac:dyDescent="0.3">
      <c r="B34" t="s">
        <v>25</v>
      </c>
    </row>
    <row r="35" spans="2:11" x14ac:dyDescent="0.25">
      <c r="B35" s="200"/>
      <c r="C35" s="200" t="s">
        <v>30</v>
      </c>
      <c r="D35" s="200" t="s">
        <v>31</v>
      </c>
      <c r="E35" s="200" t="s">
        <v>32</v>
      </c>
      <c r="F35" s="200" t="s">
        <v>33</v>
      </c>
      <c r="G35" s="200" t="s">
        <v>34</v>
      </c>
    </row>
    <row r="36" spans="2:11" x14ac:dyDescent="0.25">
      <c r="B36" s="198" t="s">
        <v>26</v>
      </c>
      <c r="C36" s="198">
        <v>2</v>
      </c>
      <c r="D36" s="198">
        <v>1260.591267971894</v>
      </c>
      <c r="E36" s="198">
        <v>630.29563398594701</v>
      </c>
      <c r="F36" s="198">
        <v>85.013998081132982</v>
      </c>
      <c r="G36" s="198">
        <v>2.2830073764708576E-3</v>
      </c>
    </row>
    <row r="37" spans="2:11" x14ac:dyDescent="0.25">
      <c r="B37" s="198" t="s">
        <v>27</v>
      </c>
      <c r="C37" s="198">
        <v>3</v>
      </c>
      <c r="D37" s="198">
        <v>22.242065361439373</v>
      </c>
      <c r="E37" s="198">
        <v>7.4140217871464573</v>
      </c>
      <c r="F37" s="198"/>
      <c r="G37" s="198"/>
    </row>
    <row r="38" spans="2:11" ht="15.75" thickBot="1" x14ac:dyDescent="0.3">
      <c r="B38" s="199" t="s">
        <v>28</v>
      </c>
      <c r="C38" s="199">
        <v>5</v>
      </c>
      <c r="D38" s="199">
        <v>1282.8333333333335</v>
      </c>
      <c r="E38" s="199"/>
      <c r="F38" s="199"/>
      <c r="G38" s="199"/>
    </row>
    <row r="39" spans="2:11" ht="15.75" thickBot="1" x14ac:dyDescent="0.3"/>
    <row r="40" spans="2:11" x14ac:dyDescent="0.25">
      <c r="B40" s="200"/>
      <c r="C40" s="200" t="s">
        <v>35</v>
      </c>
      <c r="D40" s="200" t="s">
        <v>23</v>
      </c>
      <c r="E40" s="200" t="s">
        <v>36</v>
      </c>
      <c r="F40" s="200" t="s">
        <v>37</v>
      </c>
      <c r="G40" s="200" t="s">
        <v>38</v>
      </c>
      <c r="H40" s="200" t="s">
        <v>39</v>
      </c>
      <c r="I40" s="200" t="s">
        <v>40</v>
      </c>
      <c r="J40" s="200" t="s">
        <v>41</v>
      </c>
    </row>
    <row r="41" spans="2:11" x14ac:dyDescent="0.25">
      <c r="B41" s="198" t="s">
        <v>29</v>
      </c>
      <c r="C41" s="198">
        <v>-6.5488162549082887</v>
      </c>
      <c r="D41" s="198">
        <v>13.244705225549271</v>
      </c>
      <c r="E41" s="198">
        <v>-0.4944478675354364</v>
      </c>
      <c r="F41" s="198">
        <v>0.65493153777404456</v>
      </c>
      <c r="G41" s="198">
        <v>-48.6993794645294</v>
      </c>
      <c r="H41" s="198">
        <v>35.601746954712823</v>
      </c>
      <c r="I41" s="198">
        <v>-48.6993794645294</v>
      </c>
      <c r="J41" s="198">
        <v>35.601746954712823</v>
      </c>
    </row>
    <row r="42" spans="2:11" x14ac:dyDescent="0.25">
      <c r="B42" s="198" t="s">
        <v>42</v>
      </c>
      <c r="C42" s="198">
        <v>7.8626637424504146E-5</v>
      </c>
      <c r="D42" s="198">
        <v>3.1414859927854206E-5</v>
      </c>
      <c r="E42" s="198">
        <v>2.5028485756445882</v>
      </c>
      <c r="F42" s="198">
        <v>8.7486725432159643E-2</v>
      </c>
      <c r="G42" s="198">
        <v>-2.1349467483900727E-5</v>
      </c>
      <c r="H42" s="198">
        <v>1.7860274233290902E-4</v>
      </c>
      <c r="I42" s="198">
        <v>-2.1349467483900727E-5</v>
      </c>
      <c r="J42" s="198">
        <v>1.7860274233290902E-4</v>
      </c>
    </row>
    <row r="43" spans="2:11" ht="15.75" thickBot="1" x14ac:dyDescent="0.3">
      <c r="B43" s="199" t="s">
        <v>43</v>
      </c>
      <c r="C43" s="199">
        <v>4.2868963409657451E-4</v>
      </c>
      <c r="D43" s="199">
        <v>7.3538813903525544E-4</v>
      </c>
      <c r="E43" s="199">
        <v>0.5829433619353257</v>
      </c>
      <c r="F43" s="199">
        <v>0.60085744003870478</v>
      </c>
      <c r="G43" s="199">
        <v>-1.9116436319256366E-3</v>
      </c>
      <c r="H43" s="199">
        <v>2.7690229001187858E-3</v>
      </c>
      <c r="I43" s="199">
        <v>-1.9116436319256366E-3</v>
      </c>
      <c r="J43" s="199">
        <v>2.7690229001187858E-3</v>
      </c>
    </row>
    <row r="45" spans="2:11" ht="15.75" thickBot="1" x14ac:dyDescent="0.3"/>
    <row r="46" spans="2:11" x14ac:dyDescent="0.25">
      <c r="K46" s="9"/>
    </row>
    <row r="49" spans="2:11" ht="15.75" thickBot="1" x14ac:dyDescent="0.3">
      <c r="B49" s="8"/>
      <c r="C49" s="8"/>
      <c r="D49" s="8"/>
      <c r="E49" s="8"/>
      <c r="F49" s="8"/>
      <c r="G49" s="8"/>
      <c r="H49" s="8"/>
      <c r="I49" s="8"/>
      <c r="J49" s="8"/>
      <c r="K49" s="8"/>
    </row>
  </sheetData>
  <mergeCells count="1">
    <mergeCell ref="F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6"/>
  <sheetViews>
    <sheetView zoomScale="70" zoomScaleNormal="70" workbookViewId="0">
      <selection activeCell="I15" sqref="I15"/>
    </sheetView>
  </sheetViews>
  <sheetFormatPr defaultRowHeight="15" x14ac:dyDescent="0.25"/>
  <cols>
    <col min="3" max="3" width="24.42578125" customWidth="1"/>
    <col min="4" max="5" width="26.140625" customWidth="1"/>
    <col min="6" max="6" width="9.140625" customWidth="1"/>
    <col min="7" max="7" width="11.85546875" customWidth="1"/>
    <col min="8" max="8" width="17" customWidth="1"/>
  </cols>
  <sheetData>
    <row r="2" spans="2:19" x14ac:dyDescent="0.25">
      <c r="F2" s="220"/>
      <c r="G2" s="220"/>
      <c r="H2" s="220"/>
      <c r="I2" s="221"/>
    </row>
    <row r="3" spans="2:19" ht="57" x14ac:dyDescent="0.25">
      <c r="B3" s="76" t="s">
        <v>0</v>
      </c>
      <c r="C3" s="76" t="s">
        <v>47</v>
      </c>
      <c r="D3" s="76" t="s">
        <v>2</v>
      </c>
      <c r="E3" s="76" t="s">
        <v>51</v>
      </c>
      <c r="F3" s="76" t="s">
        <v>17</v>
      </c>
      <c r="G3" s="76" t="s">
        <v>47</v>
      </c>
      <c r="H3" s="76" t="s">
        <v>44</v>
      </c>
      <c r="I3" s="99" t="s">
        <v>45</v>
      </c>
    </row>
    <row r="4" spans="2:19" ht="15.75" x14ac:dyDescent="0.25">
      <c r="B4" s="20">
        <v>2015</v>
      </c>
      <c r="C4" s="26">
        <v>872584</v>
      </c>
      <c r="D4" s="194" t="s">
        <v>69</v>
      </c>
      <c r="E4" s="193">
        <v>320</v>
      </c>
      <c r="F4" s="20">
        <v>1.9</v>
      </c>
      <c r="G4" s="26">
        <v>872584</v>
      </c>
      <c r="H4" s="84">
        <f>(D4+E4)+(G4*0.019)</f>
        <v>19567.096000000001</v>
      </c>
      <c r="I4" s="2">
        <v>56</v>
      </c>
    </row>
    <row r="5" spans="2:19" ht="15.75" x14ac:dyDescent="0.25">
      <c r="B5" s="20">
        <v>2016</v>
      </c>
      <c r="C5" s="4">
        <v>972692</v>
      </c>
      <c r="D5" s="51">
        <v>2625</v>
      </c>
      <c r="E5" s="193">
        <v>37</v>
      </c>
      <c r="F5" s="20">
        <v>1.9</v>
      </c>
      <c r="G5" s="4">
        <v>972692</v>
      </c>
      <c r="H5" s="84">
        <f t="shared" ref="H5:H9" si="0">(D5+E5)+(G5*0.019)</f>
        <v>21143.148000000001</v>
      </c>
      <c r="I5" s="2">
        <v>56</v>
      </c>
    </row>
    <row r="6" spans="2:19" ht="15.75" x14ac:dyDescent="0.25">
      <c r="B6" s="20">
        <v>2017</v>
      </c>
      <c r="C6" s="4">
        <v>1030577</v>
      </c>
      <c r="D6" s="94">
        <v>2505</v>
      </c>
      <c r="E6" s="193">
        <v>20</v>
      </c>
      <c r="F6" s="20">
        <v>1.9</v>
      </c>
      <c r="G6" s="4">
        <v>1030577</v>
      </c>
      <c r="H6" s="84">
        <f t="shared" si="0"/>
        <v>22105.963</v>
      </c>
      <c r="I6" s="2">
        <v>57</v>
      </c>
    </row>
    <row r="7" spans="2:19" ht="15.75" x14ac:dyDescent="0.25">
      <c r="B7" s="20">
        <v>2018</v>
      </c>
      <c r="C7" s="47">
        <v>1078384</v>
      </c>
      <c r="D7" s="98">
        <v>2720</v>
      </c>
      <c r="E7" s="193">
        <v>22</v>
      </c>
      <c r="F7" s="20">
        <v>1.9</v>
      </c>
      <c r="G7" s="47">
        <v>1078384</v>
      </c>
      <c r="H7" s="84">
        <f t="shared" si="0"/>
        <v>23231.295999999998</v>
      </c>
      <c r="I7" s="2">
        <v>58</v>
      </c>
    </row>
    <row r="8" spans="2:19" s="38" customFormat="1" ht="15.75" x14ac:dyDescent="0.25">
      <c r="B8" s="36">
        <v>2019</v>
      </c>
      <c r="C8" s="89">
        <v>1136156</v>
      </c>
      <c r="D8" s="94">
        <v>2830</v>
      </c>
      <c r="E8" s="193">
        <v>60</v>
      </c>
      <c r="F8" s="36">
        <v>1.9</v>
      </c>
      <c r="G8" s="89">
        <v>1136156</v>
      </c>
      <c r="H8" s="84">
        <f t="shared" si="0"/>
        <v>24476.964</v>
      </c>
      <c r="I8" s="91">
        <v>58</v>
      </c>
      <c r="K8"/>
      <c r="L8"/>
      <c r="M8"/>
      <c r="N8"/>
      <c r="O8"/>
      <c r="P8"/>
      <c r="Q8"/>
      <c r="R8"/>
      <c r="S8"/>
    </row>
    <row r="9" spans="2:19" ht="15.75" x14ac:dyDescent="0.25">
      <c r="B9" s="20">
        <v>2022</v>
      </c>
      <c r="C9" s="14">
        <v>1354556</v>
      </c>
      <c r="D9" s="51">
        <v>5183</v>
      </c>
      <c r="E9" s="193">
        <v>1302</v>
      </c>
      <c r="F9" s="20">
        <v>1.9</v>
      </c>
      <c r="G9" s="14">
        <v>1354556</v>
      </c>
      <c r="H9" s="84">
        <f t="shared" si="0"/>
        <v>32221.563999999998</v>
      </c>
      <c r="I9" s="2">
        <v>67</v>
      </c>
    </row>
    <row r="10" spans="2:19" x14ac:dyDescent="0.25">
      <c r="B10" s="23">
        <v>2023</v>
      </c>
      <c r="C10" s="12">
        <v>1379000</v>
      </c>
      <c r="D10" s="22"/>
      <c r="E10" s="22"/>
      <c r="G10" s="12">
        <v>1379000</v>
      </c>
      <c r="H10" s="21">
        <f>$L$28+$L$29*G10</f>
        <v>31896.025343929483</v>
      </c>
      <c r="I10" s="82">
        <f>$C$50+$C$51*G10+$C$52*H10</f>
        <v>65.815636788873576</v>
      </c>
    </row>
    <row r="11" spans="2:19" x14ac:dyDescent="0.25">
      <c r="B11" s="23">
        <v>2024</v>
      </c>
      <c r="C11" s="12">
        <v>1434000</v>
      </c>
      <c r="D11" s="22"/>
      <c r="E11" s="22"/>
      <c r="G11" s="12">
        <v>1434000</v>
      </c>
      <c r="H11" s="21">
        <f t="shared" ref="H11:H17" si="1">$L$28+$L$29*G11</f>
        <v>33358.344687948171</v>
      </c>
      <c r="I11" s="82">
        <f t="shared" ref="I11:I17" si="2">$C$50+$C$51*G11+$C$52*H11</f>
        <v>67.105464213220017</v>
      </c>
    </row>
    <row r="12" spans="2:19" x14ac:dyDescent="0.25">
      <c r="B12" s="23">
        <v>2025</v>
      </c>
      <c r="C12" s="12">
        <v>1490000</v>
      </c>
      <c r="D12" s="88"/>
      <c r="E12" s="88"/>
      <c r="G12" s="12">
        <v>1490000</v>
      </c>
      <c r="H12" s="21">
        <f t="shared" si="1"/>
        <v>34847.251656403569</v>
      </c>
      <c r="I12" s="82">
        <f t="shared" si="2"/>
        <v>68.418743045281857</v>
      </c>
      <c r="K12" t="s">
        <v>18</v>
      </c>
    </row>
    <row r="13" spans="2:19" ht="15.75" thickBot="1" x14ac:dyDescent="0.3">
      <c r="B13" s="23">
        <v>2026</v>
      </c>
      <c r="C13" s="12">
        <v>1545000</v>
      </c>
      <c r="D13" s="22"/>
      <c r="E13" s="22"/>
      <c r="G13" s="12">
        <v>1545000</v>
      </c>
      <c r="H13" s="21">
        <f t="shared" si="1"/>
        <v>36309.571000422256</v>
      </c>
      <c r="I13" s="82">
        <f t="shared" si="2"/>
        <v>69.708570469628285</v>
      </c>
    </row>
    <row r="14" spans="2:19" x14ac:dyDescent="0.25">
      <c r="B14" s="23">
        <v>2027</v>
      </c>
      <c r="C14" s="12">
        <v>1601000</v>
      </c>
      <c r="D14" s="22"/>
      <c r="E14" s="22"/>
      <c r="G14" s="12">
        <v>1601000</v>
      </c>
      <c r="H14" s="21">
        <f t="shared" si="1"/>
        <v>37798.477968877647</v>
      </c>
      <c r="I14" s="82">
        <f t="shared" si="2"/>
        <v>71.021849301690111</v>
      </c>
      <c r="K14" s="201" t="s">
        <v>19</v>
      </c>
      <c r="L14" s="201"/>
    </row>
    <row r="15" spans="2:19" x14ac:dyDescent="0.25">
      <c r="B15" s="23">
        <v>2028</v>
      </c>
      <c r="C15" s="12">
        <v>1656000</v>
      </c>
      <c r="D15" s="22"/>
      <c r="E15" s="22"/>
      <c r="G15" s="12">
        <v>1656000</v>
      </c>
      <c r="H15" s="21">
        <f t="shared" si="1"/>
        <v>39260.797312896342</v>
      </c>
      <c r="I15" s="82">
        <f t="shared" si="2"/>
        <v>72.311676726036566</v>
      </c>
      <c r="K15" s="198" t="s">
        <v>20</v>
      </c>
      <c r="L15" s="198">
        <v>0.9802253613522105</v>
      </c>
    </row>
    <row r="16" spans="2:19" x14ac:dyDescent="0.25">
      <c r="B16" s="23">
        <v>2029</v>
      </c>
      <c r="C16" s="12">
        <v>1712000</v>
      </c>
      <c r="D16" s="22"/>
      <c r="E16" s="22"/>
      <c r="G16" s="12">
        <v>1712000</v>
      </c>
      <c r="H16" s="21">
        <f t="shared" si="1"/>
        <v>40749.704281351733</v>
      </c>
      <c r="I16" s="82">
        <f t="shared" si="2"/>
        <v>73.624955558098392</v>
      </c>
      <c r="K16" s="198" t="s">
        <v>21</v>
      </c>
      <c r="L16" s="198">
        <v>0.96084175903807167</v>
      </c>
    </row>
    <row r="17" spans="2:19" x14ac:dyDescent="0.25">
      <c r="B17" s="23">
        <v>2030</v>
      </c>
      <c r="C17" s="12">
        <v>1768000</v>
      </c>
      <c r="D17" s="22"/>
      <c r="E17" s="22"/>
      <c r="G17" s="12">
        <v>1768000</v>
      </c>
      <c r="H17" s="21">
        <f t="shared" si="1"/>
        <v>42238.611249807123</v>
      </c>
      <c r="I17" s="82">
        <f t="shared" si="2"/>
        <v>74.938234390160233</v>
      </c>
      <c r="K17" s="198" t="s">
        <v>22</v>
      </c>
      <c r="L17" s="198">
        <v>0.95105219879758951</v>
      </c>
    </row>
    <row r="18" spans="2:19" x14ac:dyDescent="0.25">
      <c r="K18" s="198" t="s">
        <v>23</v>
      </c>
      <c r="L18" s="198">
        <v>987.19365063017699</v>
      </c>
    </row>
    <row r="19" spans="2:19" ht="15.75" thickBot="1" x14ac:dyDescent="0.3">
      <c r="K19" s="199" t="s">
        <v>24</v>
      </c>
      <c r="L19" s="199">
        <v>6</v>
      </c>
    </row>
    <row r="20" spans="2:19" ht="26.25" x14ac:dyDescent="0.25">
      <c r="B20" s="5" t="s">
        <v>68</v>
      </c>
    </row>
    <row r="21" spans="2:19" ht="15.75" thickBot="1" x14ac:dyDescent="0.3">
      <c r="K21" t="s">
        <v>25</v>
      </c>
    </row>
    <row r="22" spans="2:19" x14ac:dyDescent="0.25">
      <c r="K22" s="200"/>
      <c r="L22" s="200" t="s">
        <v>30</v>
      </c>
      <c r="M22" s="200" t="s">
        <v>31</v>
      </c>
      <c r="N22" s="200" t="s">
        <v>32</v>
      </c>
      <c r="O22" s="200" t="s">
        <v>33</v>
      </c>
      <c r="P22" s="200" t="s">
        <v>34</v>
      </c>
    </row>
    <row r="23" spans="2:19" x14ac:dyDescent="0.25">
      <c r="K23" s="198" t="s">
        <v>26</v>
      </c>
      <c r="L23" s="198">
        <v>1</v>
      </c>
      <c r="M23" s="198">
        <v>95651854.225958645</v>
      </c>
      <c r="N23" s="198">
        <v>95651854.225958645</v>
      </c>
      <c r="O23" s="198">
        <v>98.149634450868675</v>
      </c>
      <c r="P23" s="198">
        <v>5.8268819937792263E-4</v>
      </c>
    </row>
    <row r="24" spans="2:19" ht="15.75" thickBot="1" x14ac:dyDescent="0.3">
      <c r="K24" s="198" t="s">
        <v>27</v>
      </c>
      <c r="L24" s="198">
        <v>4</v>
      </c>
      <c r="M24" s="198">
        <v>3898205.2153781434</v>
      </c>
      <c r="N24" s="198">
        <v>974551.30384453584</v>
      </c>
      <c r="O24" s="198"/>
      <c r="P24" s="198"/>
    </row>
    <row r="25" spans="2:19" ht="15.75" thickBot="1" x14ac:dyDescent="0.3">
      <c r="B25" s="10"/>
      <c r="C25" s="10"/>
      <c r="K25" s="199" t="s">
        <v>28</v>
      </c>
      <c r="L25" s="199">
        <v>5</v>
      </c>
      <c r="M25" s="199">
        <v>99550059.441336796</v>
      </c>
      <c r="N25" s="199"/>
      <c r="O25" s="199"/>
      <c r="P25" s="199"/>
    </row>
    <row r="26" spans="2:19" ht="15.75" thickBot="1" x14ac:dyDescent="0.3"/>
    <row r="27" spans="2:19" x14ac:dyDescent="0.25">
      <c r="K27" s="200"/>
      <c r="L27" s="200" t="s">
        <v>35</v>
      </c>
      <c r="M27" s="200" t="s">
        <v>23</v>
      </c>
      <c r="N27" s="200" t="s">
        <v>36</v>
      </c>
      <c r="O27" s="200" t="s">
        <v>37</v>
      </c>
      <c r="P27" s="200" t="s">
        <v>38</v>
      </c>
      <c r="Q27" s="200" t="s">
        <v>39</v>
      </c>
      <c r="R27" s="200" t="s">
        <v>40</v>
      </c>
      <c r="S27" s="200" t="s">
        <v>41</v>
      </c>
    </row>
    <row r="28" spans="2:19" x14ac:dyDescent="0.25">
      <c r="K28" s="198" t="s">
        <v>29</v>
      </c>
      <c r="L28" s="198">
        <v>-4768.3087542845824</v>
      </c>
      <c r="M28" s="198">
        <v>2910.7622326497417</v>
      </c>
      <c r="N28" s="198">
        <v>-1.6381649798801561</v>
      </c>
      <c r="O28" s="198">
        <v>0.17672958777541325</v>
      </c>
      <c r="P28" s="198">
        <v>-12849.880307519557</v>
      </c>
      <c r="Q28" s="198">
        <v>3313.2627989503935</v>
      </c>
      <c r="R28" s="198">
        <v>-12849.880307519557</v>
      </c>
      <c r="S28" s="198">
        <v>3313.2627989503935</v>
      </c>
    </row>
    <row r="29" spans="2:19" ht="15.75" thickBot="1" x14ac:dyDescent="0.3">
      <c r="K29" s="199" t="s">
        <v>42</v>
      </c>
      <c r="L29" s="199">
        <v>2.6587624436703455E-2</v>
      </c>
      <c r="M29" s="199">
        <v>2.6837075767263876E-3</v>
      </c>
      <c r="N29" s="199">
        <v>9.9070497349548408</v>
      </c>
      <c r="O29" s="199">
        <v>5.8268819937792144E-4</v>
      </c>
      <c r="P29" s="199">
        <v>1.9136457671519246E-2</v>
      </c>
      <c r="Q29" s="199">
        <v>3.4038791201887665E-2</v>
      </c>
      <c r="R29" s="199">
        <v>1.9136457671519246E-2</v>
      </c>
      <c r="S29" s="199">
        <v>3.4038791201887665E-2</v>
      </c>
    </row>
    <row r="34" spans="2:7" x14ac:dyDescent="0.25">
      <c r="B34" t="s">
        <v>18</v>
      </c>
    </row>
    <row r="35" spans="2:7" ht="15.75" thickBot="1" x14ac:dyDescent="0.3"/>
    <row r="36" spans="2:7" x14ac:dyDescent="0.25">
      <c r="B36" s="201" t="s">
        <v>19</v>
      </c>
      <c r="C36" s="201"/>
    </row>
    <row r="37" spans="2:7" x14ac:dyDescent="0.25">
      <c r="B37" s="198" t="s">
        <v>20</v>
      </c>
      <c r="C37" s="198">
        <v>0.99667314804575358</v>
      </c>
    </row>
    <row r="38" spans="2:7" x14ac:dyDescent="0.25">
      <c r="B38" s="198" t="s">
        <v>21</v>
      </c>
      <c r="C38" s="198">
        <v>0.99335736403543262</v>
      </c>
    </row>
    <row r="39" spans="2:7" x14ac:dyDescent="0.25">
      <c r="B39" s="198" t="s">
        <v>22</v>
      </c>
      <c r="C39" s="198">
        <v>0.98892894005905452</v>
      </c>
    </row>
    <row r="40" spans="2:7" x14ac:dyDescent="0.25">
      <c r="B40" s="198" t="s">
        <v>23</v>
      </c>
      <c r="C40" s="198">
        <v>0.43974369084181292</v>
      </c>
    </row>
    <row r="41" spans="2:7" ht="15.75" thickBot="1" x14ac:dyDescent="0.3">
      <c r="B41" s="199" t="s">
        <v>24</v>
      </c>
      <c r="C41" s="199">
        <v>6</v>
      </c>
    </row>
    <row r="43" spans="2:7" ht="15.75" thickBot="1" x14ac:dyDescent="0.3">
      <c r="B43" t="s">
        <v>25</v>
      </c>
    </row>
    <row r="44" spans="2:7" x14ac:dyDescent="0.25">
      <c r="B44" s="200"/>
      <c r="C44" s="200" t="s">
        <v>30</v>
      </c>
      <c r="D44" s="200" t="s">
        <v>31</v>
      </c>
      <c r="E44" s="200" t="s">
        <v>32</v>
      </c>
      <c r="F44" s="200" t="s">
        <v>33</v>
      </c>
      <c r="G44" s="200" t="s">
        <v>34</v>
      </c>
    </row>
    <row r="45" spans="2:7" x14ac:dyDescent="0.25">
      <c r="B45" s="198" t="s">
        <v>26</v>
      </c>
      <c r="C45" s="198">
        <v>2</v>
      </c>
      <c r="D45" s="198">
        <v>86.753209792427796</v>
      </c>
      <c r="E45" s="198">
        <v>43.376604896213898</v>
      </c>
      <c r="F45" s="198">
        <v>224.31397023729886</v>
      </c>
      <c r="G45" s="198">
        <v>5.4139055985377802E-4</v>
      </c>
    </row>
    <row r="46" spans="2:7" x14ac:dyDescent="0.25">
      <c r="B46" s="198" t="s">
        <v>27</v>
      </c>
      <c r="C46" s="198">
        <v>3</v>
      </c>
      <c r="D46" s="198">
        <v>0.58012354090553986</v>
      </c>
      <c r="E46" s="198">
        <v>0.19337451363517996</v>
      </c>
      <c r="F46" s="198"/>
      <c r="G46" s="198"/>
    </row>
    <row r="47" spans="2:7" ht="15.75" thickBot="1" x14ac:dyDescent="0.3">
      <c r="B47" s="199" t="s">
        <v>28</v>
      </c>
      <c r="C47" s="199">
        <v>5</v>
      </c>
      <c r="D47" s="199">
        <v>87.333333333333343</v>
      </c>
      <c r="E47" s="199"/>
      <c r="F47" s="199"/>
      <c r="G47" s="199"/>
    </row>
    <row r="48" spans="2:7" ht="15.75" thickBot="1" x14ac:dyDescent="0.3"/>
    <row r="49" spans="2:12" x14ac:dyDescent="0.25">
      <c r="B49" s="200"/>
      <c r="C49" s="200" t="s">
        <v>35</v>
      </c>
      <c r="D49" s="200" t="s">
        <v>23</v>
      </c>
      <c r="E49" s="200" t="s">
        <v>36</v>
      </c>
      <c r="F49" s="200" t="s">
        <v>37</v>
      </c>
      <c r="G49" s="200" t="s">
        <v>38</v>
      </c>
      <c r="H49" s="200" t="s">
        <v>39</v>
      </c>
      <c r="I49" s="200" t="s">
        <v>40</v>
      </c>
      <c r="J49" s="200" t="s">
        <v>41</v>
      </c>
    </row>
    <row r="50" spans="2:12" x14ac:dyDescent="0.25">
      <c r="B50" s="198" t="s">
        <v>29</v>
      </c>
      <c r="C50" s="198">
        <v>41.958626588250368</v>
      </c>
      <c r="D50" s="198">
        <v>1.6760181639589007</v>
      </c>
      <c r="E50" s="198">
        <v>25.034708746318383</v>
      </c>
      <c r="F50" s="198">
        <v>1.3975074240807762E-4</v>
      </c>
      <c r="G50" s="198">
        <v>36.624788774770977</v>
      </c>
      <c r="H50" s="198">
        <v>47.29246440172976</v>
      </c>
      <c r="I50" s="198">
        <v>36.624788774770977</v>
      </c>
      <c r="J50" s="198">
        <v>47.29246440172976</v>
      </c>
    </row>
    <row r="51" spans="2:12" x14ac:dyDescent="0.25">
      <c r="B51" s="198" t="s">
        <v>42</v>
      </c>
      <c r="C51" s="198">
        <v>-2.384607904048883E-5</v>
      </c>
      <c r="D51" s="198">
        <v>6.041167381470941E-6</v>
      </c>
      <c r="E51" s="198">
        <v>-3.9472634235608015</v>
      </c>
      <c r="F51" s="198">
        <v>2.8996793528323239E-2</v>
      </c>
      <c r="G51" s="198">
        <v>-4.3071769853251482E-5</v>
      </c>
      <c r="H51" s="198">
        <v>-4.6203882277261745E-6</v>
      </c>
      <c r="I51" s="198">
        <v>-4.3071769853251482E-5</v>
      </c>
      <c r="J51" s="198">
        <v>-4.6203882277261745E-6</v>
      </c>
    </row>
    <row r="52" spans="2:12" ht="15.75" thickBot="1" x14ac:dyDescent="0.3">
      <c r="B52" s="199" t="s">
        <v>43</v>
      </c>
      <c r="C52" s="199">
        <v>1.7789286466144698E-3</v>
      </c>
      <c r="D52" s="199">
        <v>2.227241284225753E-4</v>
      </c>
      <c r="E52" s="199">
        <v>7.9871393333698535</v>
      </c>
      <c r="F52" s="199">
        <v>4.0955901661849405E-3</v>
      </c>
      <c r="G52" s="199">
        <v>1.0701210670185108E-3</v>
      </c>
      <c r="H52" s="199">
        <v>2.4877362262104288E-3</v>
      </c>
      <c r="I52" s="199">
        <v>1.0701210670185108E-3</v>
      </c>
      <c r="J52" s="199">
        <v>2.4877362262104288E-3</v>
      </c>
    </row>
    <row r="53" spans="2:12" x14ac:dyDescent="0.25">
      <c r="K53" s="9"/>
      <c r="L53" s="9"/>
    </row>
    <row r="56" spans="2:12" ht="15.75" thickBot="1" x14ac:dyDescent="0.3">
      <c r="C56" s="8"/>
      <c r="D56" s="8"/>
      <c r="E56" s="8"/>
      <c r="F56" s="8"/>
      <c r="G56" s="8"/>
      <c r="H56" s="8"/>
      <c r="I56" s="8"/>
      <c r="J56" s="8"/>
      <c r="K56" s="8"/>
      <c r="L56" s="8"/>
    </row>
  </sheetData>
  <mergeCells count="1"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0"/>
  <sheetViews>
    <sheetView zoomScale="80" zoomScaleNormal="80" workbookViewId="0">
      <selection activeCell="H15" sqref="H15"/>
    </sheetView>
  </sheetViews>
  <sheetFormatPr defaultRowHeight="15" x14ac:dyDescent="0.25"/>
  <cols>
    <col min="3" max="3" width="24.42578125" customWidth="1"/>
    <col min="4" max="4" width="26.140625" customWidth="1"/>
    <col min="5" max="5" width="9.140625" customWidth="1"/>
    <col min="6" max="6" width="11.85546875" customWidth="1"/>
    <col min="7" max="7" width="17" customWidth="1"/>
  </cols>
  <sheetData>
    <row r="2" spans="2:18" x14ac:dyDescent="0.25">
      <c r="E2" s="220"/>
      <c r="F2" s="220"/>
      <c r="G2" s="220"/>
      <c r="H2" s="221"/>
    </row>
    <row r="3" spans="2:18" ht="57" x14ac:dyDescent="0.25">
      <c r="B3" s="76" t="s">
        <v>0</v>
      </c>
      <c r="C3" s="76" t="s">
        <v>47</v>
      </c>
      <c r="D3" s="76" t="s">
        <v>2</v>
      </c>
      <c r="E3" s="76" t="s">
        <v>17</v>
      </c>
      <c r="F3" s="76" t="s">
        <v>47</v>
      </c>
      <c r="G3" s="76" t="s">
        <v>44</v>
      </c>
      <c r="H3" s="99" t="s">
        <v>45</v>
      </c>
    </row>
    <row r="4" spans="2:18" x14ac:dyDescent="0.25">
      <c r="B4" s="20">
        <v>2015</v>
      </c>
      <c r="C4" s="26">
        <v>872584</v>
      </c>
      <c r="D4" s="97" t="s">
        <v>67</v>
      </c>
      <c r="E4" s="20">
        <v>1.9</v>
      </c>
      <c r="F4" s="26">
        <v>872584</v>
      </c>
      <c r="G4" s="84">
        <f>D4+(F4*0.019)</f>
        <v>25416.096000000001</v>
      </c>
      <c r="H4" s="2">
        <v>45</v>
      </c>
    </row>
    <row r="5" spans="2:18" ht="15.75" x14ac:dyDescent="0.25">
      <c r="B5" s="20">
        <v>2016</v>
      </c>
      <c r="C5" s="4">
        <v>972692</v>
      </c>
      <c r="D5" s="51">
        <v>8826</v>
      </c>
      <c r="E5" s="20">
        <v>1.9</v>
      </c>
      <c r="F5" s="4">
        <v>972692</v>
      </c>
      <c r="G5" s="84">
        <f t="shared" ref="G5:G9" si="0">D5+(F5*0.019)</f>
        <v>27307.148000000001</v>
      </c>
      <c r="H5" s="2">
        <v>40</v>
      </c>
    </row>
    <row r="6" spans="2:18" ht="15.75" x14ac:dyDescent="0.25">
      <c r="B6" s="20">
        <v>2017</v>
      </c>
      <c r="C6" s="4">
        <v>1030577</v>
      </c>
      <c r="D6" s="94">
        <v>9210</v>
      </c>
      <c r="E6" s="20">
        <v>1.9</v>
      </c>
      <c r="F6" s="4">
        <v>1030577</v>
      </c>
      <c r="G6" s="84">
        <f t="shared" si="0"/>
        <v>28790.963</v>
      </c>
      <c r="H6" s="2">
        <v>36</v>
      </c>
    </row>
    <row r="7" spans="2:18" ht="15.75" x14ac:dyDescent="0.25">
      <c r="B7" s="20">
        <v>2018</v>
      </c>
      <c r="C7" s="47">
        <v>1078384</v>
      </c>
      <c r="D7" s="98">
        <v>10169</v>
      </c>
      <c r="E7" s="20">
        <v>1.9</v>
      </c>
      <c r="F7" s="47">
        <v>1078384</v>
      </c>
      <c r="G7" s="84">
        <f t="shared" si="0"/>
        <v>30658.295999999998</v>
      </c>
      <c r="H7" s="2">
        <v>33</v>
      </c>
    </row>
    <row r="8" spans="2:18" s="38" customFormat="1" ht="15.75" x14ac:dyDescent="0.25">
      <c r="B8" s="36">
        <v>2019</v>
      </c>
      <c r="C8" s="89">
        <v>1136156</v>
      </c>
      <c r="D8" s="94">
        <v>10494</v>
      </c>
      <c r="E8" s="36">
        <v>1.9</v>
      </c>
      <c r="F8" s="89">
        <v>1136156</v>
      </c>
      <c r="G8" s="84">
        <f t="shared" si="0"/>
        <v>32080.964</v>
      </c>
      <c r="H8" s="91">
        <v>32</v>
      </c>
      <c r="J8"/>
      <c r="K8"/>
      <c r="L8"/>
      <c r="M8"/>
      <c r="N8"/>
      <c r="O8"/>
      <c r="P8"/>
      <c r="Q8"/>
      <c r="R8"/>
    </row>
    <row r="9" spans="2:18" ht="15.75" x14ac:dyDescent="0.25">
      <c r="B9" s="20">
        <v>2022</v>
      </c>
      <c r="C9" s="14">
        <v>1354556</v>
      </c>
      <c r="D9" s="51">
        <v>11497</v>
      </c>
      <c r="E9" s="20">
        <v>1.9</v>
      </c>
      <c r="F9" s="14">
        <v>1354556</v>
      </c>
      <c r="G9" s="84">
        <f t="shared" si="0"/>
        <v>37233.563999999998</v>
      </c>
      <c r="H9" s="2">
        <v>41</v>
      </c>
    </row>
    <row r="10" spans="2:18" x14ac:dyDescent="0.25">
      <c r="B10" s="23">
        <v>2023</v>
      </c>
      <c r="C10" s="12">
        <v>1379000</v>
      </c>
      <c r="D10" s="22"/>
      <c r="F10" s="12">
        <v>1379000</v>
      </c>
      <c r="G10" s="21">
        <f>$K$26+$K$27*F10</f>
        <v>37930.184449895605</v>
      </c>
      <c r="H10" s="82">
        <f>$C$48+$C$49*F10+$C$50*G10</f>
        <v>35.403112802753711</v>
      </c>
      <c r="J10" t="s">
        <v>18</v>
      </c>
    </row>
    <row r="11" spans="2:18" ht="15.75" thickBot="1" x14ac:dyDescent="0.3">
      <c r="B11" s="23">
        <v>2024</v>
      </c>
      <c r="C11" s="12">
        <v>1434000</v>
      </c>
      <c r="D11" s="22"/>
      <c r="F11" s="12">
        <v>1434000</v>
      </c>
      <c r="G11" s="21">
        <f t="shared" ref="G11:G17" si="1">$K$26+$K$27*F11</f>
        <v>39316.244304686712</v>
      </c>
      <c r="H11" s="82">
        <f t="shared" ref="H11:H17" si="2">$C$48+$C$49*F11+$C$50*G11</f>
        <v>34.964648935375919</v>
      </c>
    </row>
    <row r="12" spans="2:18" x14ac:dyDescent="0.25">
      <c r="B12" s="23">
        <v>2025</v>
      </c>
      <c r="C12" s="12">
        <v>1490000</v>
      </c>
      <c r="D12" s="88"/>
      <c r="F12" s="12">
        <v>1490000</v>
      </c>
      <c r="G12" s="21">
        <f t="shared" si="1"/>
        <v>40727.505247746769</v>
      </c>
      <c r="H12" s="82">
        <f t="shared" si="2"/>
        <v>34.518212997682099</v>
      </c>
      <c r="J12" s="10" t="s">
        <v>19</v>
      </c>
      <c r="K12" s="10"/>
    </row>
    <row r="13" spans="2:18" x14ac:dyDescent="0.25">
      <c r="B13" s="23">
        <v>2026</v>
      </c>
      <c r="C13" s="12">
        <v>1545000</v>
      </c>
      <c r="D13" s="22"/>
      <c r="F13" s="12">
        <v>1545000</v>
      </c>
      <c r="G13" s="21">
        <f t="shared" si="1"/>
        <v>42113.56510253789</v>
      </c>
      <c r="H13" s="82">
        <f t="shared" si="2"/>
        <v>34.079749130304265</v>
      </c>
      <c r="J13" t="s">
        <v>20</v>
      </c>
      <c r="K13">
        <v>0.9970486444871961</v>
      </c>
    </row>
    <row r="14" spans="2:18" x14ac:dyDescent="0.25">
      <c r="B14" s="23">
        <v>2027</v>
      </c>
      <c r="C14" s="12">
        <v>1601000</v>
      </c>
      <c r="D14" s="22"/>
      <c r="F14" s="12">
        <v>1601000</v>
      </c>
      <c r="G14" s="21">
        <f t="shared" si="1"/>
        <v>43524.826045597933</v>
      </c>
      <c r="H14" s="82">
        <f t="shared" si="2"/>
        <v>33.633313192610501</v>
      </c>
      <c r="J14" t="s">
        <v>21</v>
      </c>
      <c r="K14">
        <v>0.99410599947375522</v>
      </c>
    </row>
    <row r="15" spans="2:18" x14ac:dyDescent="0.25">
      <c r="B15" s="23">
        <v>2028</v>
      </c>
      <c r="C15" s="12">
        <v>1656000</v>
      </c>
      <c r="D15" s="22"/>
      <c r="F15" s="12">
        <v>1656000</v>
      </c>
      <c r="G15" s="21">
        <f t="shared" si="1"/>
        <v>44910.885900389054</v>
      </c>
      <c r="H15" s="82">
        <f t="shared" si="2"/>
        <v>33.194849325232667</v>
      </c>
      <c r="J15" t="s">
        <v>22</v>
      </c>
      <c r="K15">
        <v>0.992632499342194</v>
      </c>
    </row>
    <row r="16" spans="2:18" x14ac:dyDescent="0.25">
      <c r="B16" s="23">
        <v>2029</v>
      </c>
      <c r="C16" s="12">
        <v>1712000</v>
      </c>
      <c r="D16" s="22"/>
      <c r="F16" s="12">
        <v>1712000</v>
      </c>
      <c r="G16" s="21">
        <f t="shared" si="1"/>
        <v>46322.146843449096</v>
      </c>
      <c r="H16" s="82">
        <f t="shared" si="2"/>
        <v>32.748413387538903</v>
      </c>
      <c r="J16" t="s">
        <v>23</v>
      </c>
      <c r="K16">
        <v>356.89889121112168</v>
      </c>
    </row>
    <row r="17" spans="2:18" ht="15.75" thickBot="1" x14ac:dyDescent="0.3">
      <c r="B17" s="23">
        <v>2030</v>
      </c>
      <c r="C17" s="12">
        <v>1768000</v>
      </c>
      <c r="D17" s="22"/>
      <c r="F17" s="12">
        <v>1768000</v>
      </c>
      <c r="G17" s="21">
        <f t="shared" si="1"/>
        <v>47733.407786509139</v>
      </c>
      <c r="H17" s="82">
        <f t="shared" si="2"/>
        <v>32.30197744984514</v>
      </c>
      <c r="J17" s="8" t="s">
        <v>24</v>
      </c>
      <c r="K17" s="8">
        <v>6</v>
      </c>
    </row>
    <row r="19" spans="2:18" ht="15.75" thickBot="1" x14ac:dyDescent="0.3">
      <c r="J19" t="s">
        <v>25</v>
      </c>
    </row>
    <row r="20" spans="2:18" ht="26.25" x14ac:dyDescent="0.25">
      <c r="B20" s="5" t="s">
        <v>66</v>
      </c>
      <c r="J20" s="9"/>
      <c r="K20" s="9" t="s">
        <v>30</v>
      </c>
      <c r="L20" s="9" t="s">
        <v>31</v>
      </c>
      <c r="M20" s="9" t="s">
        <v>32</v>
      </c>
      <c r="N20" s="9" t="s">
        <v>33</v>
      </c>
      <c r="O20" s="9" t="s">
        <v>34</v>
      </c>
    </row>
    <row r="21" spans="2:18" x14ac:dyDescent="0.25">
      <c r="J21" t="s">
        <v>26</v>
      </c>
      <c r="K21">
        <v>1</v>
      </c>
      <c r="L21">
        <v>85935560.370812535</v>
      </c>
      <c r="M21">
        <v>85935560.370812535</v>
      </c>
      <c r="N21">
        <v>674.65620001030641</v>
      </c>
      <c r="O21">
        <v>1.3052895154279423E-5</v>
      </c>
    </row>
    <row r="22" spans="2:18" x14ac:dyDescent="0.25">
      <c r="J22" t="s">
        <v>27</v>
      </c>
      <c r="K22">
        <v>4</v>
      </c>
      <c r="L22">
        <v>509507.27419091231</v>
      </c>
      <c r="M22">
        <v>127376.81854772808</v>
      </c>
    </row>
    <row r="23" spans="2:18" ht="15.75" thickBot="1" x14ac:dyDescent="0.3">
      <c r="J23" s="8" t="s">
        <v>28</v>
      </c>
      <c r="K23" s="8">
        <v>5</v>
      </c>
      <c r="L23" s="8">
        <v>86445067.645003453</v>
      </c>
      <c r="M23" s="8"/>
      <c r="N23" s="8"/>
      <c r="O23" s="8"/>
    </row>
    <row r="24" spans="2:18" ht="15.75" thickBot="1" x14ac:dyDescent="0.3"/>
    <row r="25" spans="2:18" x14ac:dyDescent="0.25">
      <c r="B25" s="10"/>
      <c r="C25" s="10"/>
      <c r="J25" s="9"/>
      <c r="K25" s="9" t="s">
        <v>35</v>
      </c>
      <c r="L25" s="9" t="s">
        <v>23</v>
      </c>
      <c r="M25" s="9" t="s">
        <v>36</v>
      </c>
      <c r="N25" s="9" t="s">
        <v>37</v>
      </c>
      <c r="O25" s="9" t="s">
        <v>38</v>
      </c>
      <c r="P25" s="9" t="s">
        <v>39</v>
      </c>
      <c r="Q25" s="9" t="s">
        <v>40</v>
      </c>
      <c r="R25" s="9" t="s">
        <v>41</v>
      </c>
    </row>
    <row r="26" spans="2:18" x14ac:dyDescent="0.25">
      <c r="J26" t="s">
        <v>29</v>
      </c>
      <c r="K26">
        <v>3177.8837270419353</v>
      </c>
      <c r="L26">
        <v>1052.3242453481657</v>
      </c>
      <c r="M26">
        <v>3.0198712431932231</v>
      </c>
      <c r="N26">
        <v>3.9168196459719765E-2</v>
      </c>
      <c r="O26">
        <v>256.16322696405859</v>
      </c>
      <c r="P26">
        <v>6099.6042271198121</v>
      </c>
      <c r="Q26">
        <v>256.16322696405859</v>
      </c>
      <c r="R26">
        <v>6099.6042271198121</v>
      </c>
    </row>
    <row r="27" spans="2:18" ht="15.75" thickBot="1" x14ac:dyDescent="0.3">
      <c r="J27" s="8" t="s">
        <v>42</v>
      </c>
      <c r="K27" s="8">
        <v>2.5201088268929417E-2</v>
      </c>
      <c r="L27" s="8">
        <v>9.7023745833161787E-4</v>
      </c>
      <c r="M27" s="8">
        <v>25.97414483693942</v>
      </c>
      <c r="N27" s="8">
        <v>1.3052895154279423E-5</v>
      </c>
      <c r="O27" s="8">
        <v>2.2507277226865047E-2</v>
      </c>
      <c r="P27" s="8">
        <v>2.7894899310993787E-2</v>
      </c>
      <c r="Q27" s="8">
        <v>2.2507277226865047E-2</v>
      </c>
      <c r="R27" s="8">
        <v>2.7894899310993787E-2</v>
      </c>
    </row>
    <row r="32" spans="2:18" x14ac:dyDescent="0.25">
      <c r="B32" t="s">
        <v>18</v>
      </c>
    </row>
    <row r="33" spans="2:10" ht="15.75" thickBot="1" x14ac:dyDescent="0.3"/>
    <row r="34" spans="2:10" x14ac:dyDescent="0.25">
      <c r="B34" s="10" t="s">
        <v>19</v>
      </c>
      <c r="C34" s="10"/>
    </row>
    <row r="35" spans="2:10" x14ac:dyDescent="0.25">
      <c r="B35" t="s">
        <v>20</v>
      </c>
      <c r="C35">
        <v>0.33536499682428028</v>
      </c>
    </row>
    <row r="36" spans="2:10" x14ac:dyDescent="0.25">
      <c r="B36" t="s">
        <v>21</v>
      </c>
      <c r="C36">
        <v>0.11246968109494952</v>
      </c>
    </row>
    <row r="37" spans="2:10" x14ac:dyDescent="0.25">
      <c r="B37" t="s">
        <v>22</v>
      </c>
      <c r="C37">
        <v>-0.47921719817508412</v>
      </c>
    </row>
    <row r="38" spans="2:10" x14ac:dyDescent="0.25">
      <c r="B38" t="s">
        <v>23</v>
      </c>
      <c r="C38">
        <v>6.1255864693682982</v>
      </c>
    </row>
    <row r="39" spans="2:10" ht="15.75" thickBot="1" x14ac:dyDescent="0.3">
      <c r="B39" s="8" t="s">
        <v>24</v>
      </c>
      <c r="C39" s="8">
        <v>6</v>
      </c>
    </row>
    <row r="41" spans="2:10" ht="15.75" thickBot="1" x14ac:dyDescent="0.3">
      <c r="B41" t="s">
        <v>25</v>
      </c>
    </row>
    <row r="42" spans="2:10" x14ac:dyDescent="0.25">
      <c r="B42" s="9"/>
      <c r="C42" s="9" t="s">
        <v>30</v>
      </c>
      <c r="D42" s="9" t="s">
        <v>31</v>
      </c>
      <c r="E42" s="9" t="s">
        <v>32</v>
      </c>
      <c r="F42" s="9" t="s">
        <v>33</v>
      </c>
      <c r="G42" s="9" t="s">
        <v>34</v>
      </c>
    </row>
    <row r="43" spans="2:10" x14ac:dyDescent="0.25">
      <c r="B43" t="s">
        <v>26</v>
      </c>
      <c r="C43">
        <v>2</v>
      </c>
      <c r="D43">
        <v>14.26490455220943</v>
      </c>
      <c r="E43">
        <v>7.1324522761047149</v>
      </c>
      <c r="F43">
        <v>0.19008310820362245</v>
      </c>
      <c r="G43">
        <v>0.83613190762442635</v>
      </c>
    </row>
    <row r="44" spans="2:10" x14ac:dyDescent="0.25">
      <c r="B44" t="s">
        <v>27</v>
      </c>
      <c r="C44">
        <v>3</v>
      </c>
      <c r="D44">
        <v>112.5684287811239</v>
      </c>
      <c r="E44">
        <v>37.522809593707969</v>
      </c>
    </row>
    <row r="45" spans="2:10" ht="15.75" thickBot="1" x14ac:dyDescent="0.3">
      <c r="B45" s="8" t="s">
        <v>28</v>
      </c>
      <c r="C45" s="8">
        <v>5</v>
      </c>
      <c r="D45" s="8">
        <v>126.83333333333333</v>
      </c>
      <c r="E45" s="8"/>
      <c r="F45" s="8"/>
      <c r="G45" s="8"/>
    </row>
    <row r="46" spans="2:10" ht="15.75" thickBot="1" x14ac:dyDescent="0.3"/>
    <row r="47" spans="2:10" x14ac:dyDescent="0.25">
      <c r="B47" s="9"/>
      <c r="C47" s="9" t="s">
        <v>35</v>
      </c>
      <c r="D47" s="9" t="s">
        <v>23</v>
      </c>
      <c r="E47" s="9" t="s">
        <v>36</v>
      </c>
      <c r="F47" s="9" t="s">
        <v>37</v>
      </c>
      <c r="G47" s="9" t="s">
        <v>38</v>
      </c>
      <c r="H47" s="9" t="s">
        <v>39</v>
      </c>
      <c r="I47" s="9" t="s">
        <v>40</v>
      </c>
      <c r="J47" s="9" t="s">
        <v>41</v>
      </c>
    </row>
    <row r="48" spans="2:10" x14ac:dyDescent="0.25">
      <c r="B48" t="s">
        <v>29</v>
      </c>
      <c r="C48">
        <v>56.993421740436155</v>
      </c>
      <c r="D48">
        <v>32.710164150774546</v>
      </c>
      <c r="E48">
        <v>1.7423765126255597</v>
      </c>
      <c r="F48">
        <v>0.17980376185434779</v>
      </c>
      <c r="G48">
        <v>-47.104919306419937</v>
      </c>
      <c r="H48">
        <v>161.09176278729225</v>
      </c>
      <c r="I48">
        <v>-47.104919306419937</v>
      </c>
      <c r="J48">
        <v>161.09176278729225</v>
      </c>
    </row>
    <row r="49" spans="2:10" x14ac:dyDescent="0.25">
      <c r="B49" t="s">
        <v>42</v>
      </c>
      <c r="C49">
        <v>7.6062312067368018E-5</v>
      </c>
      <c r="D49">
        <v>2.1690792935349625E-4</v>
      </c>
      <c r="E49">
        <v>0.35066635089862841</v>
      </c>
      <c r="F49">
        <v>0.74901724445655327</v>
      </c>
      <c r="G49">
        <v>-6.1423552629040587E-4</v>
      </c>
      <c r="H49">
        <v>7.6636015042514196E-4</v>
      </c>
      <c r="I49">
        <v>-6.1423552629040587E-4</v>
      </c>
      <c r="J49">
        <v>7.6636015042514196E-4</v>
      </c>
    </row>
    <row r="50" spans="2:10" ht="15.75" thickBot="1" x14ac:dyDescent="0.3">
      <c r="B50" s="8" t="s">
        <v>43</v>
      </c>
      <c r="C50" s="8">
        <v>-3.334553710005253E-3</v>
      </c>
      <c r="D50" s="8">
        <v>8.5816832444916991E-3</v>
      </c>
      <c r="E50" s="8">
        <v>-0.38856639367872192</v>
      </c>
      <c r="F50" s="8">
        <v>0.72353225626483364</v>
      </c>
      <c r="G50" s="8">
        <v>-3.0645299844552974E-2</v>
      </c>
      <c r="H50" s="8">
        <v>2.3976192424542467E-2</v>
      </c>
      <c r="I50" s="8">
        <v>-3.0645299844552974E-2</v>
      </c>
      <c r="J50" s="8">
        <v>2.3976192424542467E-2</v>
      </c>
    </row>
  </sheetData>
  <mergeCells count="1">
    <mergeCell ref="E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2"/>
  <sheetViews>
    <sheetView topLeftCell="A2" zoomScale="80" zoomScaleNormal="80" workbookViewId="0">
      <selection activeCell="I15" sqref="I15"/>
    </sheetView>
  </sheetViews>
  <sheetFormatPr defaultRowHeight="15" x14ac:dyDescent="0.25"/>
  <cols>
    <col min="3" max="3" width="24.42578125" customWidth="1"/>
    <col min="4" max="5" width="26.140625" customWidth="1"/>
    <col min="6" max="6" width="9.140625" customWidth="1"/>
    <col min="7" max="7" width="11.85546875" customWidth="1"/>
    <col min="8" max="8" width="17" customWidth="1"/>
  </cols>
  <sheetData>
    <row r="2" spans="2:19" x14ac:dyDescent="0.25">
      <c r="F2" s="220"/>
      <c r="G2" s="220"/>
      <c r="H2" s="220"/>
      <c r="I2" s="221"/>
    </row>
    <row r="3" spans="2:19" ht="57" x14ac:dyDescent="0.25">
      <c r="B3" s="76" t="s">
        <v>0</v>
      </c>
      <c r="C3" s="76" t="s">
        <v>48</v>
      </c>
      <c r="D3" s="76" t="s">
        <v>2</v>
      </c>
      <c r="E3" s="76" t="s">
        <v>51</v>
      </c>
      <c r="F3" s="76" t="s">
        <v>17</v>
      </c>
      <c r="G3" s="76" t="s">
        <v>48</v>
      </c>
      <c r="H3" s="76" t="s">
        <v>44</v>
      </c>
      <c r="I3" s="99" t="s">
        <v>45</v>
      </c>
    </row>
    <row r="4" spans="2:19" ht="15.75" x14ac:dyDescent="0.25">
      <c r="B4" s="20">
        <v>2015</v>
      </c>
      <c r="C4" s="4">
        <v>258522</v>
      </c>
      <c r="D4" s="97" t="s">
        <v>65</v>
      </c>
      <c r="E4" s="176">
        <v>2690</v>
      </c>
      <c r="F4" s="20">
        <v>1.9</v>
      </c>
      <c r="G4" s="4">
        <v>258522</v>
      </c>
      <c r="H4" s="84">
        <f>(D4+E4)+(G4*0.019)</f>
        <v>11656.918</v>
      </c>
      <c r="I4" s="2">
        <v>49</v>
      </c>
    </row>
    <row r="5" spans="2:19" ht="15.75" x14ac:dyDescent="0.25">
      <c r="B5" s="20">
        <v>2016</v>
      </c>
      <c r="C5" s="4">
        <v>298360</v>
      </c>
      <c r="D5" s="51">
        <v>4104</v>
      </c>
      <c r="E5" s="176">
        <v>8716</v>
      </c>
      <c r="F5" s="20">
        <v>1.9</v>
      </c>
      <c r="G5" s="4">
        <v>298360</v>
      </c>
      <c r="H5" s="84">
        <f t="shared" ref="H5:H9" si="0">(D5+E5)+(G5*0.019)</f>
        <v>18488.84</v>
      </c>
      <c r="I5" s="2">
        <v>44</v>
      </c>
    </row>
    <row r="6" spans="2:19" ht="15.75" x14ac:dyDescent="0.25">
      <c r="B6" s="20">
        <v>2017</v>
      </c>
      <c r="C6" s="4">
        <v>322270</v>
      </c>
      <c r="D6" s="94">
        <v>4168</v>
      </c>
      <c r="E6" s="176">
        <v>15056</v>
      </c>
      <c r="F6" s="20">
        <v>1.9</v>
      </c>
      <c r="G6" s="4">
        <v>322270</v>
      </c>
      <c r="H6" s="84">
        <f t="shared" si="0"/>
        <v>25347.13</v>
      </c>
      <c r="I6" s="2">
        <v>45</v>
      </c>
    </row>
    <row r="7" spans="2:19" ht="15.75" x14ac:dyDescent="0.25">
      <c r="B7" s="20">
        <v>2018</v>
      </c>
      <c r="C7" s="95">
        <v>346269</v>
      </c>
      <c r="D7" s="98">
        <v>4403</v>
      </c>
      <c r="E7" s="176">
        <v>16487</v>
      </c>
      <c r="F7" s="20">
        <v>1.9</v>
      </c>
      <c r="G7" s="95">
        <v>346269</v>
      </c>
      <c r="H7" s="84">
        <f t="shared" si="0"/>
        <v>27469.111000000001</v>
      </c>
      <c r="I7" s="2">
        <v>49</v>
      </c>
    </row>
    <row r="8" spans="2:19" s="38" customFormat="1" ht="15.75" x14ac:dyDescent="0.25">
      <c r="B8" s="36">
        <v>2019</v>
      </c>
      <c r="C8" s="89">
        <v>374158</v>
      </c>
      <c r="D8" s="94">
        <v>4359</v>
      </c>
      <c r="E8" s="176">
        <v>18148</v>
      </c>
      <c r="F8" s="36">
        <v>1.9</v>
      </c>
      <c r="G8" s="89">
        <v>374158</v>
      </c>
      <c r="H8" s="84">
        <f t="shared" si="0"/>
        <v>29616.002</v>
      </c>
      <c r="I8" s="91">
        <v>58</v>
      </c>
      <c r="K8"/>
      <c r="L8"/>
      <c r="M8"/>
      <c r="N8"/>
      <c r="O8"/>
      <c r="P8"/>
      <c r="Q8"/>
      <c r="R8"/>
      <c r="S8"/>
    </row>
    <row r="9" spans="2:19" ht="15.75" x14ac:dyDescent="0.25">
      <c r="B9" s="20">
        <v>2022</v>
      </c>
      <c r="C9" s="96">
        <v>444502</v>
      </c>
      <c r="D9" s="51">
        <v>6815</v>
      </c>
      <c r="E9" s="176">
        <v>19825</v>
      </c>
      <c r="F9" s="20">
        <v>1.9</v>
      </c>
      <c r="G9" s="96">
        <v>444502</v>
      </c>
      <c r="H9" s="84">
        <f t="shared" si="0"/>
        <v>35085.538</v>
      </c>
      <c r="I9" s="2">
        <v>65</v>
      </c>
    </row>
    <row r="10" spans="2:19" x14ac:dyDescent="0.25">
      <c r="B10" s="23">
        <v>2023</v>
      </c>
      <c r="C10" s="58">
        <v>465600</v>
      </c>
      <c r="D10" s="22"/>
      <c r="E10" s="22"/>
      <c r="G10" s="58">
        <v>465600</v>
      </c>
      <c r="H10" s="21">
        <f>$L$28+$L$29*G10</f>
        <v>40102.392030460294</v>
      </c>
      <c r="I10" s="82">
        <f>$C$50+$C$51*G10+$C$52*H10</f>
        <v>65.158714152909141</v>
      </c>
    </row>
    <row r="11" spans="2:19" x14ac:dyDescent="0.25">
      <c r="B11" s="23">
        <v>2024</v>
      </c>
      <c r="C11" s="58">
        <v>480700.00000000006</v>
      </c>
      <c r="D11" s="22"/>
      <c r="E11" s="22"/>
      <c r="G11" s="58">
        <v>480700.00000000006</v>
      </c>
      <c r="H11" s="21">
        <f t="shared" ref="H11:H17" si="1">$L$28+$L$29*G11</f>
        <v>41975.002703518214</v>
      </c>
      <c r="I11" s="82">
        <f t="shared" ref="I11:I17" si="2">$C$50+$C$51*G11+$C$52*H11</f>
        <v>66.789599430338541</v>
      </c>
    </row>
    <row r="12" spans="2:19" x14ac:dyDescent="0.25">
      <c r="B12" s="23">
        <v>2025</v>
      </c>
      <c r="C12" s="58">
        <v>495200.00000000006</v>
      </c>
      <c r="D12" s="88"/>
      <c r="E12" s="88"/>
      <c r="G12" s="58">
        <v>495200.00000000006</v>
      </c>
      <c r="H12" s="21">
        <f t="shared" si="1"/>
        <v>43773.205005461263</v>
      </c>
      <c r="I12" s="82">
        <f t="shared" si="2"/>
        <v>68.355681319260725</v>
      </c>
      <c r="K12" t="s">
        <v>18</v>
      </c>
    </row>
    <row r="13" spans="2:19" ht="15.75" thickBot="1" x14ac:dyDescent="0.3">
      <c r="B13" s="23">
        <v>2026</v>
      </c>
      <c r="C13" s="58">
        <v>508200</v>
      </c>
      <c r="D13" s="22"/>
      <c r="E13" s="22"/>
      <c r="G13" s="58">
        <v>508200</v>
      </c>
      <c r="H13" s="21">
        <f t="shared" si="1"/>
        <v>45385.386379617077</v>
      </c>
      <c r="I13" s="82">
        <f t="shared" si="2"/>
        <v>69.759754736915156</v>
      </c>
    </row>
    <row r="14" spans="2:19" x14ac:dyDescent="0.25">
      <c r="B14" s="23">
        <v>2027</v>
      </c>
      <c r="C14" s="58">
        <v>519700.00000000006</v>
      </c>
      <c r="D14" s="22"/>
      <c r="E14" s="22"/>
      <c r="G14" s="58">
        <v>519700.00000000006</v>
      </c>
      <c r="H14" s="21">
        <f t="shared" si="1"/>
        <v>46811.546825985701</v>
      </c>
      <c r="I14" s="82">
        <f t="shared" si="2"/>
        <v>71.001819683301733</v>
      </c>
      <c r="K14" s="201" t="s">
        <v>19</v>
      </c>
      <c r="L14" s="201"/>
    </row>
    <row r="15" spans="2:19" x14ac:dyDescent="0.25">
      <c r="B15" s="23">
        <v>2028</v>
      </c>
      <c r="C15" s="58">
        <v>530600</v>
      </c>
      <c r="D15" s="22"/>
      <c r="E15" s="22"/>
      <c r="G15" s="58">
        <v>530600</v>
      </c>
      <c r="H15" s="21">
        <f t="shared" si="1"/>
        <v>48163.298901239425</v>
      </c>
      <c r="I15" s="82">
        <f t="shared" si="2"/>
        <v>72.179081241181194</v>
      </c>
      <c r="K15" s="198" t="s">
        <v>20</v>
      </c>
      <c r="L15" s="198">
        <v>0.95796298700035776</v>
      </c>
    </row>
    <row r="16" spans="2:19" x14ac:dyDescent="0.25">
      <c r="B16" s="23">
        <v>2029</v>
      </c>
      <c r="C16" s="58">
        <v>541400.00000000012</v>
      </c>
      <c r="D16" s="22"/>
      <c r="E16" s="22"/>
      <c r="G16" s="58">
        <v>541400.00000000012</v>
      </c>
      <c r="H16" s="21">
        <f t="shared" si="1"/>
        <v>49502.649581307371</v>
      </c>
      <c r="I16" s="82">
        <f t="shared" si="2"/>
        <v>73.345542234309463</v>
      </c>
      <c r="K16" s="198" t="s">
        <v>21</v>
      </c>
      <c r="L16" s="198">
        <v>0.91769308446264763</v>
      </c>
    </row>
    <row r="17" spans="2:19" x14ac:dyDescent="0.25">
      <c r="B17" s="23">
        <v>2030</v>
      </c>
      <c r="C17" s="58">
        <v>551800</v>
      </c>
      <c r="D17" s="22"/>
      <c r="E17" s="22"/>
      <c r="G17" s="58">
        <v>551800</v>
      </c>
      <c r="H17" s="21">
        <f t="shared" si="1"/>
        <v>50792.394680632016</v>
      </c>
      <c r="I17" s="82">
        <f t="shared" si="2"/>
        <v>74.468800968433001</v>
      </c>
      <c r="K17" s="198" t="s">
        <v>22</v>
      </c>
      <c r="L17" s="198">
        <v>0.89711635557830949</v>
      </c>
    </row>
    <row r="18" spans="2:19" x14ac:dyDescent="0.25">
      <c r="K18" s="198" t="s">
        <v>23</v>
      </c>
      <c r="L18" s="198">
        <v>2678.8912784674012</v>
      </c>
    </row>
    <row r="19" spans="2:19" ht="15.75" thickBot="1" x14ac:dyDescent="0.3">
      <c r="K19" s="199" t="s">
        <v>24</v>
      </c>
      <c r="L19" s="199">
        <v>6</v>
      </c>
    </row>
    <row r="20" spans="2:19" ht="26.25" x14ac:dyDescent="0.25">
      <c r="B20" s="5" t="s">
        <v>64</v>
      </c>
    </row>
    <row r="21" spans="2:19" ht="15.75" thickBot="1" x14ac:dyDescent="0.3">
      <c r="K21" t="s">
        <v>25</v>
      </c>
    </row>
    <row r="22" spans="2:19" x14ac:dyDescent="0.25">
      <c r="K22" s="200"/>
      <c r="L22" s="200" t="s">
        <v>30</v>
      </c>
      <c r="M22" s="200" t="s">
        <v>31</v>
      </c>
      <c r="N22" s="200" t="s">
        <v>32</v>
      </c>
      <c r="O22" s="200" t="s">
        <v>33</v>
      </c>
      <c r="P22" s="200" t="s">
        <v>34</v>
      </c>
    </row>
    <row r="23" spans="2:19" x14ac:dyDescent="0.25">
      <c r="K23" s="198" t="s">
        <v>26</v>
      </c>
      <c r="L23" s="198">
        <v>1</v>
      </c>
      <c r="M23" s="198">
        <v>320059925.79017806</v>
      </c>
      <c r="N23" s="198">
        <v>320059925.79017806</v>
      </c>
      <c r="O23" s="198">
        <v>44.598589485287221</v>
      </c>
      <c r="P23" s="198">
        <v>2.6135236701681185E-3</v>
      </c>
    </row>
    <row r="24" spans="2:19" ht="15.75" thickBot="1" x14ac:dyDescent="0.3">
      <c r="K24" s="198" t="s">
        <v>27</v>
      </c>
      <c r="L24" s="198">
        <v>4</v>
      </c>
      <c r="M24" s="198">
        <v>28705833.92739483</v>
      </c>
      <c r="N24" s="198">
        <v>7176458.4818487074</v>
      </c>
      <c r="O24" s="198"/>
      <c r="P24" s="198"/>
    </row>
    <row r="25" spans="2:19" ht="15.75" thickBot="1" x14ac:dyDescent="0.3">
      <c r="B25" s="10"/>
      <c r="C25" s="10"/>
      <c r="K25" s="199" t="s">
        <v>28</v>
      </c>
      <c r="L25" s="199">
        <v>5</v>
      </c>
      <c r="M25" s="199">
        <v>348765759.71757287</v>
      </c>
      <c r="N25" s="199"/>
      <c r="O25" s="199"/>
      <c r="P25" s="199"/>
    </row>
    <row r="26" spans="2:19" ht="15.75" thickBot="1" x14ac:dyDescent="0.3"/>
    <row r="27" spans="2:19" x14ac:dyDescent="0.25">
      <c r="K27" s="200"/>
      <c r="L27" s="200" t="s">
        <v>35</v>
      </c>
      <c r="M27" s="200" t="s">
        <v>23</v>
      </c>
      <c r="N27" s="200" t="s">
        <v>36</v>
      </c>
      <c r="O27" s="200" t="s">
        <v>37</v>
      </c>
      <c r="P27" s="200" t="s">
        <v>38</v>
      </c>
      <c r="Q27" s="200" t="s">
        <v>39</v>
      </c>
      <c r="R27" s="200" t="s">
        <v>40</v>
      </c>
      <c r="S27" s="200" t="s">
        <v>41</v>
      </c>
    </row>
    <row r="28" spans="2:19" x14ac:dyDescent="0.25">
      <c r="K28" s="198" t="s">
        <v>29</v>
      </c>
      <c r="L28" s="198">
        <v>-17638.503954690019</v>
      </c>
      <c r="M28" s="198">
        <v>6420.2373905097784</v>
      </c>
      <c r="N28" s="198">
        <v>-2.7473289353385559</v>
      </c>
      <c r="O28" s="198">
        <v>5.1515670378730262E-2</v>
      </c>
      <c r="P28" s="198">
        <v>-35463.940631778751</v>
      </c>
      <c r="Q28" s="198">
        <v>186.9327223987093</v>
      </c>
      <c r="R28" s="198">
        <v>-35463.940631778751</v>
      </c>
      <c r="S28" s="198">
        <v>186.9327223987093</v>
      </c>
    </row>
    <row r="29" spans="2:19" ht="15.75" thickBot="1" x14ac:dyDescent="0.3">
      <c r="K29" s="199" t="s">
        <v>42</v>
      </c>
      <c r="L29" s="199">
        <v>0.12401395185814069</v>
      </c>
      <c r="M29" s="199">
        <v>1.8569917968661101E-2</v>
      </c>
      <c r="N29" s="199">
        <v>6.6782175380326763</v>
      </c>
      <c r="O29" s="199">
        <v>2.6135236701681185E-3</v>
      </c>
      <c r="P29" s="199">
        <v>7.2455594010127022E-2</v>
      </c>
      <c r="Q29" s="199">
        <v>0.17557230970615437</v>
      </c>
      <c r="R29" s="199">
        <v>7.2455594010127022E-2</v>
      </c>
      <c r="S29" s="199">
        <v>0.17557230970615437</v>
      </c>
    </row>
    <row r="34" spans="2:11" x14ac:dyDescent="0.25">
      <c r="B34" t="s">
        <v>18</v>
      </c>
    </row>
    <row r="35" spans="2:11" ht="15.75" thickBot="1" x14ac:dyDescent="0.3"/>
    <row r="36" spans="2:11" x14ac:dyDescent="0.25">
      <c r="B36" s="201" t="s">
        <v>19</v>
      </c>
      <c r="C36" s="201"/>
    </row>
    <row r="37" spans="2:11" x14ac:dyDescent="0.25">
      <c r="B37" s="198" t="s">
        <v>20</v>
      </c>
      <c r="C37" s="198">
        <v>0.93670030325967524</v>
      </c>
    </row>
    <row r="38" spans="2:11" x14ac:dyDescent="0.25">
      <c r="B38" s="198" t="s">
        <v>21</v>
      </c>
      <c r="C38" s="198">
        <v>0.87740745812676746</v>
      </c>
    </row>
    <row r="39" spans="2:11" x14ac:dyDescent="0.25">
      <c r="B39" s="198" t="s">
        <v>22</v>
      </c>
      <c r="C39" s="198">
        <v>0.7956790968779458</v>
      </c>
    </row>
    <row r="40" spans="2:11" x14ac:dyDescent="0.25">
      <c r="B40" s="198" t="s">
        <v>23</v>
      </c>
      <c r="C40" s="198">
        <v>3.7017728053892105</v>
      </c>
    </row>
    <row r="41" spans="2:11" ht="15.75" thickBot="1" x14ac:dyDescent="0.3">
      <c r="B41" s="199" t="s">
        <v>24</v>
      </c>
      <c r="C41" s="199">
        <v>6</v>
      </c>
    </row>
    <row r="43" spans="2:11" ht="15.75" thickBot="1" x14ac:dyDescent="0.3">
      <c r="B43" t="s">
        <v>25</v>
      </c>
    </row>
    <row r="44" spans="2:11" x14ac:dyDescent="0.25">
      <c r="B44" s="200"/>
      <c r="C44" s="200" t="s">
        <v>30</v>
      </c>
      <c r="D44" s="200" t="s">
        <v>31</v>
      </c>
      <c r="E44" s="200" t="s">
        <v>32</v>
      </c>
      <c r="F44" s="200" t="s">
        <v>33</v>
      </c>
      <c r="G44" s="200" t="s">
        <v>34</v>
      </c>
    </row>
    <row r="45" spans="2:11" x14ac:dyDescent="0.25">
      <c r="B45" s="198" t="s">
        <v>26</v>
      </c>
      <c r="C45" s="198">
        <v>2</v>
      </c>
      <c r="D45" s="198">
        <v>294.22396762517599</v>
      </c>
      <c r="E45" s="198">
        <v>147.11198381258799</v>
      </c>
      <c r="F45" s="198">
        <v>10.735654608998015</v>
      </c>
      <c r="G45" s="198">
        <v>4.2923593658004584E-2</v>
      </c>
    </row>
    <row r="46" spans="2:11" ht="15.75" thickBot="1" x14ac:dyDescent="0.3">
      <c r="B46" s="198" t="s">
        <v>27</v>
      </c>
      <c r="C46" s="198">
        <v>3</v>
      </c>
      <c r="D46" s="198">
        <v>41.109365708157313</v>
      </c>
      <c r="E46" s="198">
        <v>13.703121902719104</v>
      </c>
      <c r="F46" s="198"/>
      <c r="G46" s="198"/>
    </row>
    <row r="47" spans="2:11" ht="15.75" thickBot="1" x14ac:dyDescent="0.3">
      <c r="B47" s="199" t="s">
        <v>28</v>
      </c>
      <c r="C47" s="199">
        <v>5</v>
      </c>
      <c r="D47" s="199">
        <v>335.33333333333331</v>
      </c>
      <c r="E47" s="199"/>
      <c r="F47" s="199"/>
      <c r="G47" s="199"/>
      <c r="K47" s="9"/>
    </row>
    <row r="48" spans="2:11" ht="15.75" thickBot="1" x14ac:dyDescent="0.3"/>
    <row r="49" spans="2:11" x14ac:dyDescent="0.25">
      <c r="B49" s="200"/>
      <c r="C49" s="200" t="s">
        <v>35</v>
      </c>
      <c r="D49" s="200" t="s">
        <v>23</v>
      </c>
      <c r="E49" s="200" t="s">
        <v>36</v>
      </c>
      <c r="F49" s="200" t="s">
        <v>37</v>
      </c>
      <c r="G49" s="200" t="s">
        <v>38</v>
      </c>
      <c r="H49" s="200" t="s">
        <v>39</v>
      </c>
      <c r="I49" s="200" t="s">
        <v>40</v>
      </c>
      <c r="J49" s="200" t="s">
        <v>41</v>
      </c>
    </row>
    <row r="50" spans="2:11" ht="15.75" thickBot="1" x14ac:dyDescent="0.3">
      <c r="B50" s="198" t="s">
        <v>29</v>
      </c>
      <c r="C50" s="198">
        <v>-8.7451387514456442</v>
      </c>
      <c r="D50" s="198">
        <v>15.073902298966782</v>
      </c>
      <c r="E50" s="198">
        <v>-0.58015095082877555</v>
      </c>
      <c r="F50" s="198">
        <v>0.6025152980846723</v>
      </c>
      <c r="G50" s="198">
        <v>-56.717023429000086</v>
      </c>
      <c r="H50" s="198">
        <v>39.226745926108798</v>
      </c>
      <c r="I50" s="198">
        <v>-56.717023429000086</v>
      </c>
      <c r="J50" s="198">
        <v>39.226745926108798</v>
      </c>
      <c r="K50" s="8"/>
    </row>
    <row r="51" spans="2:11" x14ac:dyDescent="0.25">
      <c r="B51" s="198" t="s">
        <v>42</v>
      </c>
      <c r="C51" s="198">
        <v>2.7404954811382685E-4</v>
      </c>
      <c r="D51" s="198">
        <v>8.9443028166169528E-5</v>
      </c>
      <c r="E51" s="198">
        <v>3.0639565065338648</v>
      </c>
      <c r="F51" s="198">
        <v>5.4822138859033795E-2</v>
      </c>
      <c r="G51" s="198">
        <v>-1.0598086406986122E-5</v>
      </c>
      <c r="H51" s="198">
        <v>5.5869718263463976E-4</v>
      </c>
      <c r="I51" s="198">
        <v>-1.0598086406986122E-5</v>
      </c>
      <c r="J51" s="198">
        <v>5.5869718263463976E-4</v>
      </c>
    </row>
    <row r="52" spans="2:11" ht="15.75" thickBot="1" x14ac:dyDescent="0.3">
      <c r="B52" s="199" t="s">
        <v>43</v>
      </c>
      <c r="C52" s="199">
        <v>-1.3389130667482206E-3</v>
      </c>
      <c r="D52" s="199">
        <v>6.9091508773491575E-4</v>
      </c>
      <c r="E52" s="199">
        <v>-1.937883671259359</v>
      </c>
      <c r="F52" s="199">
        <v>0.14801818112471721</v>
      </c>
      <c r="G52" s="199">
        <v>-3.5377132349749731E-3</v>
      </c>
      <c r="H52" s="199">
        <v>8.5988710147853168E-4</v>
      </c>
      <c r="I52" s="199">
        <v>-3.5377132349749731E-3</v>
      </c>
      <c r="J52" s="199">
        <v>8.5988710147853168E-4</v>
      </c>
    </row>
  </sheetData>
  <mergeCells count="1">
    <mergeCell ref="F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9"/>
  <sheetViews>
    <sheetView zoomScale="90" zoomScaleNormal="90" workbookViewId="0">
      <selection activeCell="I17" sqref="I17"/>
    </sheetView>
  </sheetViews>
  <sheetFormatPr defaultRowHeight="15" x14ac:dyDescent="0.25"/>
  <cols>
    <col min="3" max="3" width="24.42578125" customWidth="1"/>
    <col min="4" max="5" width="26.140625" customWidth="1"/>
    <col min="6" max="6" width="9.140625" customWidth="1"/>
    <col min="7" max="7" width="11.85546875" customWidth="1"/>
    <col min="8" max="8" width="17" customWidth="1"/>
  </cols>
  <sheetData>
    <row r="2" spans="2:19" x14ac:dyDescent="0.25">
      <c r="F2" s="220"/>
      <c r="G2" s="220"/>
      <c r="H2" s="220"/>
      <c r="I2" s="221"/>
    </row>
    <row r="3" spans="2:19" ht="57" x14ac:dyDescent="0.25">
      <c r="B3" s="76" t="s">
        <v>0</v>
      </c>
      <c r="C3" s="76" t="s">
        <v>49</v>
      </c>
      <c r="D3" s="76" t="s">
        <v>2</v>
      </c>
      <c r="E3" s="76" t="s">
        <v>51</v>
      </c>
      <c r="F3" s="76" t="s">
        <v>17</v>
      </c>
      <c r="G3" s="76" t="s">
        <v>49</v>
      </c>
      <c r="H3" s="76" t="s">
        <v>44</v>
      </c>
      <c r="I3" s="99" t="s">
        <v>45</v>
      </c>
    </row>
    <row r="4" spans="2:19" ht="15.75" x14ac:dyDescent="0.25">
      <c r="B4" s="20">
        <v>2015</v>
      </c>
      <c r="C4" s="20">
        <v>614062</v>
      </c>
      <c r="D4" s="194" t="s">
        <v>63</v>
      </c>
      <c r="E4" s="176">
        <v>37061</v>
      </c>
      <c r="F4" s="20">
        <v>1.9</v>
      </c>
      <c r="G4" s="20">
        <v>614062</v>
      </c>
      <c r="H4" s="84">
        <f>(D4+E4)+(G4*0.019)</f>
        <v>66336.178</v>
      </c>
      <c r="I4" s="2">
        <v>206</v>
      </c>
    </row>
    <row r="5" spans="2:19" ht="15.75" x14ac:dyDescent="0.25">
      <c r="B5" s="20">
        <v>2016</v>
      </c>
      <c r="C5" s="20">
        <v>674332</v>
      </c>
      <c r="D5" s="51">
        <v>17706</v>
      </c>
      <c r="E5" s="176">
        <v>45759</v>
      </c>
      <c r="F5" s="20">
        <v>1.9</v>
      </c>
      <c r="G5" s="20">
        <v>674332</v>
      </c>
      <c r="H5" s="84">
        <f t="shared" ref="H5:H9" si="0">(D5+E5)+(G5*0.019)</f>
        <v>76277.308000000005</v>
      </c>
      <c r="I5" s="2">
        <v>180</v>
      </c>
    </row>
    <row r="6" spans="2:19" ht="15.75" x14ac:dyDescent="0.25">
      <c r="B6" s="20">
        <v>2017</v>
      </c>
      <c r="C6" s="20">
        <v>708307</v>
      </c>
      <c r="D6" s="94">
        <v>17831</v>
      </c>
      <c r="E6" s="176">
        <v>36718</v>
      </c>
      <c r="F6" s="20">
        <v>1.9</v>
      </c>
      <c r="G6" s="20">
        <v>708307</v>
      </c>
      <c r="H6" s="84">
        <f t="shared" si="0"/>
        <v>68006.832999999999</v>
      </c>
      <c r="I6" s="2">
        <v>180</v>
      </c>
    </row>
    <row r="7" spans="2:19" ht="15.75" x14ac:dyDescent="0.25">
      <c r="B7" s="20">
        <v>2018</v>
      </c>
      <c r="C7" s="20">
        <v>732115</v>
      </c>
      <c r="D7" s="98">
        <v>18863</v>
      </c>
      <c r="E7" s="176">
        <v>40145</v>
      </c>
      <c r="F7" s="20">
        <v>1.9</v>
      </c>
      <c r="G7" s="20">
        <v>732115</v>
      </c>
      <c r="H7" s="84">
        <f t="shared" si="0"/>
        <v>72918.184999999998</v>
      </c>
      <c r="I7" s="2">
        <v>188</v>
      </c>
    </row>
    <row r="8" spans="2:19" s="38" customFormat="1" ht="15.75" x14ac:dyDescent="0.25">
      <c r="B8" s="36">
        <v>2019</v>
      </c>
      <c r="C8" s="20">
        <v>761998</v>
      </c>
      <c r="D8" s="94">
        <v>16376</v>
      </c>
      <c r="E8" s="176">
        <v>50732</v>
      </c>
      <c r="F8" s="36">
        <v>1.9</v>
      </c>
      <c r="G8" s="20">
        <v>761998</v>
      </c>
      <c r="H8" s="84">
        <f t="shared" si="0"/>
        <v>81585.962</v>
      </c>
      <c r="I8" s="91">
        <v>196</v>
      </c>
      <c r="K8"/>
      <c r="L8"/>
      <c r="M8"/>
      <c r="N8"/>
      <c r="O8"/>
      <c r="P8"/>
      <c r="Q8"/>
      <c r="R8"/>
      <c r="S8"/>
    </row>
    <row r="9" spans="2:19" ht="15.75" x14ac:dyDescent="0.25">
      <c r="B9" s="20">
        <v>2022</v>
      </c>
      <c r="C9" s="20">
        <v>910054</v>
      </c>
      <c r="D9" s="51">
        <v>21506</v>
      </c>
      <c r="E9" s="176">
        <v>51602</v>
      </c>
      <c r="F9" s="20">
        <v>1.9</v>
      </c>
      <c r="G9" s="20">
        <v>910054</v>
      </c>
      <c r="H9" s="84">
        <f t="shared" si="0"/>
        <v>90399.025999999998</v>
      </c>
      <c r="I9" s="2">
        <v>235</v>
      </c>
    </row>
    <row r="10" spans="2:19" x14ac:dyDescent="0.25">
      <c r="B10" s="23">
        <v>2023</v>
      </c>
      <c r="C10" s="23">
        <v>913400</v>
      </c>
      <c r="D10" s="22"/>
      <c r="E10" s="22"/>
      <c r="G10" s="23">
        <v>913400</v>
      </c>
      <c r="H10" s="21">
        <f>$L$27+$L$28*G10</f>
        <v>90364.107332117026</v>
      </c>
      <c r="I10" s="82">
        <f>$C$47+$C$48*G10+$C$49*H10</f>
        <v>222.68262455509711</v>
      </c>
    </row>
    <row r="11" spans="2:19" x14ac:dyDescent="0.25">
      <c r="B11" s="23">
        <v>2024</v>
      </c>
      <c r="C11" s="23">
        <v>953300</v>
      </c>
      <c r="D11" s="22"/>
      <c r="E11" s="22"/>
      <c r="G11" s="23">
        <v>953300</v>
      </c>
      <c r="H11" s="21">
        <f t="shared" ref="H11:H17" si="1">$L$27+$L$28*G11</f>
        <v>93567.143429711912</v>
      </c>
      <c r="I11" s="82">
        <f t="shared" ref="I11:I17" si="2">$C$47+$C$48*G11+$C$49*H11</f>
        <v>228.26719297779346</v>
      </c>
      <c r="K11" t="s">
        <v>18</v>
      </c>
    </row>
    <row r="12" spans="2:19" ht="15.75" thickBot="1" x14ac:dyDescent="0.3">
      <c r="B12" s="23">
        <v>2025</v>
      </c>
      <c r="C12" s="23">
        <v>994800</v>
      </c>
      <c r="D12" s="88"/>
      <c r="E12" s="88"/>
      <c r="G12" s="23">
        <v>994800</v>
      </c>
      <c r="H12" s="21">
        <f t="shared" si="1"/>
        <v>96898.622077586304</v>
      </c>
      <c r="I12" s="82">
        <f t="shared" si="2"/>
        <v>234.07570399388115</v>
      </c>
    </row>
    <row r="13" spans="2:19" x14ac:dyDescent="0.25">
      <c r="B13" s="23">
        <v>2026</v>
      </c>
      <c r="C13" s="23">
        <v>1036800</v>
      </c>
      <c r="D13" s="22"/>
      <c r="E13" s="22"/>
      <c r="G13" s="23">
        <v>1036800</v>
      </c>
      <c r="H13" s="21">
        <f t="shared" si="1"/>
        <v>100270.23902242303</v>
      </c>
      <c r="I13" s="82">
        <f t="shared" si="2"/>
        <v>239.95419707040361</v>
      </c>
      <c r="K13" s="201" t="s">
        <v>19</v>
      </c>
      <c r="L13" s="201"/>
    </row>
    <row r="14" spans="2:19" x14ac:dyDescent="0.25">
      <c r="B14" s="23">
        <v>2027</v>
      </c>
      <c r="C14" s="23">
        <v>1081300</v>
      </c>
      <c r="D14" s="22"/>
      <c r="E14" s="22"/>
      <c r="G14" s="23">
        <v>1081300</v>
      </c>
      <c r="H14" s="21">
        <f t="shared" si="1"/>
        <v>103842.54745207148</v>
      </c>
      <c r="I14" s="82">
        <f t="shared" si="2"/>
        <v>246.18260044910008</v>
      </c>
      <c r="K14" s="198" t="s">
        <v>20</v>
      </c>
      <c r="L14" s="198">
        <v>0.89501297661356627</v>
      </c>
    </row>
    <row r="15" spans="2:19" x14ac:dyDescent="0.25">
      <c r="B15" s="23">
        <v>2028</v>
      </c>
      <c r="C15" s="23">
        <v>1125400</v>
      </c>
      <c r="D15" s="22"/>
      <c r="E15" s="22"/>
      <c r="G15" s="23">
        <v>1125400</v>
      </c>
      <c r="H15" s="21">
        <f t="shared" si="1"/>
        <v>107382.74524415005</v>
      </c>
      <c r="I15" s="82">
        <f t="shared" si="2"/>
        <v>252.35501817944868</v>
      </c>
      <c r="K15" s="198" t="s">
        <v>21</v>
      </c>
      <c r="L15" s="198">
        <v>0.80104822830667621</v>
      </c>
    </row>
    <row r="16" spans="2:19" x14ac:dyDescent="0.25">
      <c r="B16" s="23">
        <v>2029</v>
      </c>
      <c r="C16" s="23">
        <v>1170600</v>
      </c>
      <c r="D16" s="22"/>
      <c r="E16" s="22"/>
      <c r="G16" s="23">
        <v>1170600</v>
      </c>
      <c r="H16" s="21">
        <f t="shared" si="1"/>
        <v>111011.24728954578</v>
      </c>
      <c r="I16" s="82">
        <f t="shared" si="2"/>
        <v>258.68139644275379</v>
      </c>
      <c r="K16" s="198" t="s">
        <v>22</v>
      </c>
      <c r="L16" s="198">
        <v>0.75131028538334532</v>
      </c>
    </row>
    <row r="17" spans="2:19" x14ac:dyDescent="0.25">
      <c r="B17" s="23">
        <v>2030</v>
      </c>
      <c r="C17" s="23">
        <v>1216200</v>
      </c>
      <c r="D17" s="22"/>
      <c r="E17" s="22"/>
      <c r="G17" s="23">
        <v>1216200</v>
      </c>
      <c r="H17" s="21">
        <f t="shared" si="1"/>
        <v>114671.85997251136</v>
      </c>
      <c r="I17" s="82">
        <f t="shared" si="2"/>
        <v>265.06376035440678</v>
      </c>
      <c r="K17" s="198" t="s">
        <v>23</v>
      </c>
      <c r="L17" s="198">
        <v>4490.1404757704404</v>
      </c>
    </row>
    <row r="18" spans="2:19" ht="15.75" thickBot="1" x14ac:dyDescent="0.3">
      <c r="K18" s="199" t="s">
        <v>24</v>
      </c>
      <c r="L18" s="199">
        <v>6</v>
      </c>
    </row>
    <row r="20" spans="2:19" ht="27" thickBot="1" x14ac:dyDescent="0.3">
      <c r="B20" s="5" t="s">
        <v>62</v>
      </c>
      <c r="K20" t="s">
        <v>25</v>
      </c>
    </row>
    <row r="21" spans="2:19" x14ac:dyDescent="0.25">
      <c r="K21" s="200"/>
      <c r="L21" s="200" t="s">
        <v>30</v>
      </c>
      <c r="M21" s="200" t="s">
        <v>31</v>
      </c>
      <c r="N21" s="200" t="s">
        <v>32</v>
      </c>
      <c r="O21" s="200" t="s">
        <v>33</v>
      </c>
      <c r="P21" s="200" t="s">
        <v>34</v>
      </c>
    </row>
    <row r="22" spans="2:19" x14ac:dyDescent="0.25">
      <c r="K22" s="198" t="s">
        <v>26</v>
      </c>
      <c r="L22" s="198">
        <v>1</v>
      </c>
      <c r="M22" s="198">
        <v>324706289.69182998</v>
      </c>
      <c r="N22" s="198">
        <v>324706289.69182998</v>
      </c>
      <c r="O22" s="198">
        <v>16.10537511656765</v>
      </c>
      <c r="P22" s="198">
        <v>1.5954814693541482E-2</v>
      </c>
    </row>
    <row r="23" spans="2:19" x14ac:dyDescent="0.25">
      <c r="K23" s="198" t="s">
        <v>27</v>
      </c>
      <c r="L23" s="198">
        <v>4</v>
      </c>
      <c r="M23" s="198">
        <v>80645445.968607977</v>
      </c>
      <c r="N23" s="198">
        <v>20161361.492151994</v>
      </c>
      <c r="O23" s="198"/>
      <c r="P23" s="198"/>
    </row>
    <row r="24" spans="2:19" ht="15.75" thickBot="1" x14ac:dyDescent="0.3">
      <c r="K24" s="199" t="s">
        <v>28</v>
      </c>
      <c r="L24" s="199">
        <v>5</v>
      </c>
      <c r="M24" s="199">
        <v>405351735.66043794</v>
      </c>
      <c r="N24" s="199"/>
      <c r="O24" s="199"/>
      <c r="P24" s="199"/>
    </row>
    <row r="25" spans="2:19" ht="15.75" thickBot="1" x14ac:dyDescent="0.3">
      <c r="B25" s="10"/>
      <c r="C25" s="10"/>
    </row>
    <row r="26" spans="2:19" x14ac:dyDescent="0.25">
      <c r="K26" s="200"/>
      <c r="L26" s="200" t="s">
        <v>35</v>
      </c>
      <c r="M26" s="200" t="s">
        <v>23</v>
      </c>
      <c r="N26" s="200" t="s">
        <v>36</v>
      </c>
      <c r="O26" s="200" t="s">
        <v>37</v>
      </c>
      <c r="P26" s="200" t="s">
        <v>38</v>
      </c>
      <c r="Q26" s="200" t="s">
        <v>39</v>
      </c>
      <c r="R26" s="200" t="s">
        <v>40</v>
      </c>
      <c r="S26" s="200" t="s">
        <v>41</v>
      </c>
    </row>
    <row r="27" spans="2:19" x14ac:dyDescent="0.25">
      <c r="K27" s="198" t="s">
        <v>29</v>
      </c>
      <c r="L27" s="198">
        <v>17039.466441310578</v>
      </c>
      <c r="M27" s="198">
        <v>14786.111343675169</v>
      </c>
      <c r="N27" s="198">
        <v>1.1523967353728397</v>
      </c>
      <c r="O27" s="198">
        <v>0.31334275482354845</v>
      </c>
      <c r="P27" s="198">
        <v>-24013.36002374591</v>
      </c>
      <c r="Q27" s="198">
        <v>58092.292906367067</v>
      </c>
      <c r="R27" s="198">
        <v>-24013.36002374591</v>
      </c>
      <c r="S27" s="198">
        <v>58092.292906367067</v>
      </c>
    </row>
    <row r="28" spans="2:19" ht="15.75" thickBot="1" x14ac:dyDescent="0.3">
      <c r="K28" s="199" t="s">
        <v>42</v>
      </c>
      <c r="L28" s="199">
        <v>8.0276593924684087E-2</v>
      </c>
      <c r="M28" s="199">
        <v>2.0003385982722537E-2</v>
      </c>
      <c r="N28" s="199">
        <v>4.013150273359777</v>
      </c>
      <c r="O28" s="199">
        <v>1.5954814693541475E-2</v>
      </c>
      <c r="P28" s="199">
        <v>2.4738290825571947E-2</v>
      </c>
      <c r="Q28" s="199">
        <v>0.13581489702379623</v>
      </c>
      <c r="R28" s="199">
        <v>2.4738290825571947E-2</v>
      </c>
      <c r="S28" s="199">
        <v>0.13581489702379623</v>
      </c>
    </row>
    <row r="31" spans="2:19" x14ac:dyDescent="0.25">
      <c r="B31" t="s">
        <v>18</v>
      </c>
    </row>
    <row r="32" spans="2:19" ht="15.75" thickBot="1" x14ac:dyDescent="0.3"/>
    <row r="33" spans="2:11" x14ac:dyDescent="0.25">
      <c r="B33" s="201" t="s">
        <v>19</v>
      </c>
      <c r="C33" s="201"/>
    </row>
    <row r="34" spans="2:11" x14ac:dyDescent="0.25">
      <c r="B34" s="198" t="s">
        <v>20</v>
      </c>
      <c r="C34" s="198">
        <v>0.68185880948750877</v>
      </c>
    </row>
    <row r="35" spans="2:11" x14ac:dyDescent="0.25">
      <c r="B35" s="198" t="s">
        <v>21</v>
      </c>
      <c r="C35" s="198">
        <v>0.46493143607572279</v>
      </c>
    </row>
    <row r="36" spans="2:11" x14ac:dyDescent="0.25">
      <c r="B36" s="198" t="s">
        <v>22</v>
      </c>
      <c r="C36" s="198">
        <v>0.10821906012620468</v>
      </c>
    </row>
    <row r="37" spans="2:11" x14ac:dyDescent="0.25">
      <c r="B37" s="198" t="s">
        <v>23</v>
      </c>
      <c r="C37" s="198">
        <v>19.734252872680191</v>
      </c>
    </row>
    <row r="38" spans="2:11" ht="15.75" thickBot="1" x14ac:dyDescent="0.3">
      <c r="B38" s="199" t="s">
        <v>24</v>
      </c>
      <c r="C38" s="199">
        <v>6</v>
      </c>
    </row>
    <row r="40" spans="2:11" ht="15.75" thickBot="1" x14ac:dyDescent="0.3">
      <c r="B40" t="s">
        <v>25</v>
      </c>
    </row>
    <row r="41" spans="2:11" x14ac:dyDescent="0.25">
      <c r="B41" s="200"/>
      <c r="C41" s="200" t="s">
        <v>30</v>
      </c>
      <c r="D41" s="200" t="s">
        <v>31</v>
      </c>
      <c r="E41" s="200" t="s">
        <v>32</v>
      </c>
      <c r="F41" s="200" t="s">
        <v>33</v>
      </c>
      <c r="G41" s="200" t="s">
        <v>34</v>
      </c>
    </row>
    <row r="42" spans="2:11" x14ac:dyDescent="0.25">
      <c r="B42" s="198" t="s">
        <v>26</v>
      </c>
      <c r="C42" s="198">
        <v>2</v>
      </c>
      <c r="D42" s="198">
        <v>1015.1777906713407</v>
      </c>
      <c r="E42" s="198">
        <v>507.58889533567037</v>
      </c>
      <c r="F42" s="198">
        <v>1.3033790454792626</v>
      </c>
      <c r="G42" s="198">
        <v>0.39139399161602484</v>
      </c>
    </row>
    <row r="43" spans="2:11" ht="15.75" thickBot="1" x14ac:dyDescent="0.3">
      <c r="B43" s="198" t="s">
        <v>27</v>
      </c>
      <c r="C43" s="198">
        <v>3</v>
      </c>
      <c r="D43" s="198">
        <v>1168.3222093286593</v>
      </c>
      <c r="E43" s="198">
        <v>389.44073644288642</v>
      </c>
      <c r="F43" s="198"/>
      <c r="G43" s="198"/>
    </row>
    <row r="44" spans="2:11" ht="15.75" thickBot="1" x14ac:dyDescent="0.3">
      <c r="B44" s="199" t="s">
        <v>28</v>
      </c>
      <c r="C44" s="199">
        <v>5</v>
      </c>
      <c r="D44" s="199">
        <v>2183.5</v>
      </c>
      <c r="E44" s="199"/>
      <c r="F44" s="199"/>
      <c r="G44" s="199"/>
      <c r="K44" s="9"/>
    </row>
    <row r="45" spans="2:11" ht="15.75" thickBot="1" x14ac:dyDescent="0.3"/>
    <row r="46" spans="2:11" x14ac:dyDescent="0.25">
      <c r="B46" s="200"/>
      <c r="C46" s="200" t="s">
        <v>35</v>
      </c>
      <c r="D46" s="200" t="s">
        <v>23</v>
      </c>
      <c r="E46" s="200" t="s">
        <v>36</v>
      </c>
      <c r="F46" s="200" t="s">
        <v>37</v>
      </c>
      <c r="G46" s="200" t="s">
        <v>38</v>
      </c>
      <c r="H46" s="200" t="s">
        <v>39</v>
      </c>
      <c r="I46" s="200" t="s">
        <v>40</v>
      </c>
      <c r="J46" s="200" t="s">
        <v>41</v>
      </c>
    </row>
    <row r="47" spans="2:11" ht="15.75" thickBot="1" x14ac:dyDescent="0.3">
      <c r="B47" s="198" t="s">
        <v>29</v>
      </c>
      <c r="C47" s="198">
        <v>84.779141135646512</v>
      </c>
      <c r="D47" s="198">
        <v>75.001092312830536</v>
      </c>
      <c r="E47" s="198">
        <v>1.1303720855428558</v>
      </c>
      <c r="F47" s="198">
        <v>0.34052480598243484</v>
      </c>
      <c r="G47" s="198">
        <v>-153.90780798756342</v>
      </c>
      <c r="H47" s="198">
        <v>323.46609025885641</v>
      </c>
      <c r="I47" s="198">
        <v>-153.90780798756342</v>
      </c>
      <c r="J47" s="198">
        <v>323.46609025885641</v>
      </c>
      <c r="K47" s="8"/>
    </row>
    <row r="48" spans="2:11" x14ac:dyDescent="0.25">
      <c r="B48" s="198" t="s">
        <v>42</v>
      </c>
      <c r="C48" s="198">
        <v>9.2568092262426037E-5</v>
      </c>
      <c r="D48" s="198">
        <v>1.9710170008409715E-4</v>
      </c>
      <c r="E48" s="198">
        <v>0.46964634106621161</v>
      </c>
      <c r="F48" s="198">
        <v>0.67063591080094165</v>
      </c>
      <c r="G48" s="198">
        <v>-5.3469748493534665E-4</v>
      </c>
      <c r="H48" s="198">
        <v>7.1983366946019867E-4</v>
      </c>
      <c r="I48" s="198">
        <v>-5.3469748493534665E-4</v>
      </c>
      <c r="J48" s="198">
        <v>7.1983366946019867E-4</v>
      </c>
    </row>
    <row r="49" spans="2:10" ht="15.75" thickBot="1" x14ac:dyDescent="0.3">
      <c r="B49" s="199" t="s">
        <v>43</v>
      </c>
      <c r="C49" s="199">
        <v>5.9040906309034574E-4</v>
      </c>
      <c r="D49" s="199">
        <v>2.1975095188190175E-3</v>
      </c>
      <c r="E49" s="199">
        <v>0.26867190245785261</v>
      </c>
      <c r="F49" s="199">
        <v>0.80559895350032984</v>
      </c>
      <c r="G49" s="199">
        <v>-6.4030469859010179E-3</v>
      </c>
      <c r="H49" s="199">
        <v>7.5838651120817089E-3</v>
      </c>
      <c r="I49" s="199">
        <v>-6.4030469859010179E-3</v>
      </c>
      <c r="J49" s="199">
        <v>7.5838651120817089E-3</v>
      </c>
    </row>
  </sheetData>
  <mergeCells count="1">
    <mergeCell ref="F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7"/>
  <sheetViews>
    <sheetView zoomScale="90" zoomScaleNormal="90" workbookViewId="0">
      <selection activeCell="H17" sqref="H17"/>
    </sheetView>
  </sheetViews>
  <sheetFormatPr defaultRowHeight="15" x14ac:dyDescent="0.25"/>
  <cols>
    <col min="3" max="3" width="24.42578125" customWidth="1"/>
    <col min="4" max="4" width="26.140625" customWidth="1"/>
    <col min="5" max="5" width="9.140625" customWidth="1"/>
    <col min="6" max="6" width="11.85546875" customWidth="1"/>
    <col min="7" max="7" width="17" customWidth="1"/>
  </cols>
  <sheetData>
    <row r="2" spans="2:18" x14ac:dyDescent="0.25">
      <c r="E2" s="220"/>
      <c r="F2" s="220"/>
      <c r="G2" s="220"/>
      <c r="H2" s="221"/>
    </row>
    <row r="3" spans="2:18" ht="57" x14ac:dyDescent="0.25">
      <c r="B3" s="76" t="s">
        <v>0</v>
      </c>
      <c r="C3" s="76" t="s">
        <v>47</v>
      </c>
      <c r="D3" s="76" t="s">
        <v>2</v>
      </c>
      <c r="E3" s="76" t="s">
        <v>17</v>
      </c>
      <c r="F3" s="76" t="s">
        <v>47</v>
      </c>
      <c r="G3" s="76" t="s">
        <v>44</v>
      </c>
      <c r="H3" s="99" t="s">
        <v>45</v>
      </c>
    </row>
    <row r="4" spans="2:18" x14ac:dyDescent="0.25">
      <c r="B4" s="20">
        <v>2015</v>
      </c>
      <c r="C4" s="26">
        <v>872584</v>
      </c>
      <c r="D4" s="97" t="s">
        <v>61</v>
      </c>
      <c r="E4" s="20">
        <v>1.9</v>
      </c>
      <c r="F4" s="26">
        <v>872584</v>
      </c>
      <c r="G4" s="84">
        <f>D4+(F4*0.019)</f>
        <v>100899.09600000001</v>
      </c>
      <c r="H4" s="2">
        <v>334</v>
      </c>
    </row>
    <row r="5" spans="2:18" ht="15.75" x14ac:dyDescent="0.25">
      <c r="B5" s="20">
        <v>2016</v>
      </c>
      <c r="C5" s="4">
        <v>972692</v>
      </c>
      <c r="D5" s="51">
        <v>87379</v>
      </c>
      <c r="E5" s="20">
        <v>1.9</v>
      </c>
      <c r="F5" s="4">
        <v>972692</v>
      </c>
      <c r="G5" s="84">
        <f t="shared" ref="G5:G9" si="0">D5+(F5*0.019)</f>
        <v>105860.148</v>
      </c>
      <c r="H5" s="2">
        <v>311</v>
      </c>
    </row>
    <row r="6" spans="2:18" ht="15.75" x14ac:dyDescent="0.25">
      <c r="B6" s="20">
        <v>2017</v>
      </c>
      <c r="C6" s="4">
        <v>1030577</v>
      </c>
      <c r="D6" s="94">
        <v>89530</v>
      </c>
      <c r="E6" s="20">
        <v>1.9</v>
      </c>
      <c r="F6" s="4">
        <v>1030577</v>
      </c>
      <c r="G6" s="84">
        <f t="shared" si="0"/>
        <v>109110.963</v>
      </c>
      <c r="H6" s="2">
        <v>304</v>
      </c>
    </row>
    <row r="7" spans="2:18" ht="15.75" x14ac:dyDescent="0.25">
      <c r="B7" s="20">
        <v>2018</v>
      </c>
      <c r="C7" s="47">
        <v>1078384</v>
      </c>
      <c r="D7" s="98">
        <v>94021</v>
      </c>
      <c r="E7" s="20">
        <v>1.9</v>
      </c>
      <c r="F7" s="47">
        <v>1078384</v>
      </c>
      <c r="G7" s="84">
        <f t="shared" si="0"/>
        <v>114510.296</v>
      </c>
      <c r="H7" s="2">
        <v>319</v>
      </c>
    </row>
    <row r="8" spans="2:18" s="38" customFormat="1" ht="15.75" x14ac:dyDescent="0.25">
      <c r="B8" s="36">
        <v>2019</v>
      </c>
      <c r="C8" s="89">
        <v>1136156</v>
      </c>
      <c r="D8" s="94">
        <v>87763</v>
      </c>
      <c r="E8" s="36">
        <v>1.9</v>
      </c>
      <c r="F8" s="89">
        <v>1136156</v>
      </c>
      <c r="G8" s="84">
        <f t="shared" si="0"/>
        <v>109349.96400000001</v>
      </c>
      <c r="H8" s="91">
        <v>315</v>
      </c>
      <c r="J8" t="s">
        <v>18</v>
      </c>
      <c r="K8"/>
      <c r="L8"/>
      <c r="M8"/>
      <c r="N8"/>
      <c r="O8"/>
      <c r="P8"/>
      <c r="Q8"/>
      <c r="R8"/>
    </row>
    <row r="9" spans="2:18" ht="16.5" thickBot="1" x14ac:dyDescent="0.3">
      <c r="B9" s="20">
        <v>2022</v>
      </c>
      <c r="C9" s="14">
        <v>1354556</v>
      </c>
      <c r="D9" s="51">
        <v>103988</v>
      </c>
      <c r="E9" s="20">
        <v>1.9</v>
      </c>
      <c r="F9" s="14">
        <v>1354556</v>
      </c>
      <c r="G9" s="84">
        <f t="shared" si="0"/>
        <v>129724.564</v>
      </c>
      <c r="H9" s="2">
        <v>359</v>
      </c>
    </row>
    <row r="10" spans="2:18" x14ac:dyDescent="0.25">
      <c r="B10" s="23">
        <v>2023</v>
      </c>
      <c r="C10" s="12">
        <v>1379000</v>
      </c>
      <c r="D10" s="22"/>
      <c r="F10" s="12">
        <v>1379000</v>
      </c>
      <c r="G10" s="21">
        <f>$K$24+$K$25*F10</f>
        <v>129154.67924967365</v>
      </c>
      <c r="H10" s="82">
        <f>$C$45+$C$46*F10+$C$47*G10</f>
        <v>344.86582507244259</v>
      </c>
      <c r="J10" s="10" t="s">
        <v>19</v>
      </c>
      <c r="K10" s="10"/>
    </row>
    <row r="11" spans="2:18" x14ac:dyDescent="0.25">
      <c r="B11" s="23">
        <v>2024</v>
      </c>
      <c r="C11" s="12">
        <v>1434000</v>
      </c>
      <c r="D11" s="22"/>
      <c r="F11" s="12">
        <v>1434000</v>
      </c>
      <c r="G11" s="21">
        <f t="shared" ref="G11:G17" si="1">$K$24+$K$25*F11</f>
        <v>132326.27886466106</v>
      </c>
      <c r="H11" s="82">
        <f t="shared" ref="H11:H17" si="2">$C$45+$C$46*F11+$C$47*G11</f>
        <v>348.69060758200959</v>
      </c>
      <c r="J11" t="s">
        <v>20</v>
      </c>
      <c r="K11">
        <v>0.95275758003226874</v>
      </c>
    </row>
    <row r="12" spans="2:18" x14ac:dyDescent="0.25">
      <c r="B12" s="23">
        <v>2025</v>
      </c>
      <c r="C12" s="12">
        <v>1490000</v>
      </c>
      <c r="D12" s="88"/>
      <c r="F12" s="12">
        <v>1490000</v>
      </c>
      <c r="G12" s="21">
        <f t="shared" si="1"/>
        <v>135555.54392719365</v>
      </c>
      <c r="H12" s="82">
        <f t="shared" si="2"/>
        <v>352.58493159175049</v>
      </c>
      <c r="J12" t="s">
        <v>21</v>
      </c>
      <c r="K12">
        <v>0.90774700630894489</v>
      </c>
    </row>
    <row r="13" spans="2:18" x14ac:dyDescent="0.25">
      <c r="B13" s="23">
        <v>2026</v>
      </c>
      <c r="C13" s="12">
        <v>1545000</v>
      </c>
      <c r="D13" s="22"/>
      <c r="F13" s="12">
        <v>1545000</v>
      </c>
      <c r="G13" s="21">
        <f t="shared" si="1"/>
        <v>138727.14354218106</v>
      </c>
      <c r="H13" s="82">
        <f t="shared" si="2"/>
        <v>356.40971410131755</v>
      </c>
      <c r="J13" t="s">
        <v>22</v>
      </c>
      <c r="K13">
        <v>0.88468375788618103</v>
      </c>
    </row>
    <row r="14" spans="2:18" x14ac:dyDescent="0.25">
      <c r="B14" s="23">
        <v>2027</v>
      </c>
      <c r="C14" s="12">
        <v>1601000</v>
      </c>
      <c r="D14" s="22"/>
      <c r="F14" s="12">
        <v>1601000</v>
      </c>
      <c r="G14" s="21">
        <f t="shared" si="1"/>
        <v>141956.40860471368</v>
      </c>
      <c r="H14" s="82">
        <f t="shared" si="2"/>
        <v>360.3040381110585</v>
      </c>
      <c r="J14" t="s">
        <v>23</v>
      </c>
      <c r="K14">
        <v>3381.1205391831486</v>
      </c>
    </row>
    <row r="15" spans="2:18" ht="15.75" thickBot="1" x14ac:dyDescent="0.3">
      <c r="B15" s="23">
        <v>2028</v>
      </c>
      <c r="C15" s="12">
        <v>1656000</v>
      </c>
      <c r="D15" s="22"/>
      <c r="F15" s="12">
        <v>1656000</v>
      </c>
      <c r="G15" s="21">
        <f t="shared" si="1"/>
        <v>145128.00821970106</v>
      </c>
      <c r="H15" s="82">
        <f t="shared" si="2"/>
        <v>364.1288206206255</v>
      </c>
      <c r="J15" s="8" t="s">
        <v>24</v>
      </c>
      <c r="K15" s="8">
        <v>6</v>
      </c>
    </row>
    <row r="16" spans="2:18" x14ac:dyDescent="0.25">
      <c r="B16" s="23">
        <v>2029</v>
      </c>
      <c r="C16" s="12">
        <v>1712000</v>
      </c>
      <c r="D16" s="22"/>
      <c r="F16" s="12">
        <v>1712000</v>
      </c>
      <c r="G16" s="21">
        <f t="shared" si="1"/>
        <v>148357.27328223368</v>
      </c>
      <c r="H16" s="82">
        <f t="shared" si="2"/>
        <v>368.02314463036646</v>
      </c>
    </row>
    <row r="17" spans="2:18" ht="15.75" thickBot="1" x14ac:dyDescent="0.3">
      <c r="B17" s="23">
        <v>2030</v>
      </c>
      <c r="C17" s="12">
        <v>1768000</v>
      </c>
      <c r="D17" s="22"/>
      <c r="F17" s="12">
        <v>1768000</v>
      </c>
      <c r="G17" s="21">
        <f t="shared" si="1"/>
        <v>151586.5383447663</v>
      </c>
      <c r="H17" s="82">
        <f t="shared" si="2"/>
        <v>371.91746864010747</v>
      </c>
      <c r="J17" t="s">
        <v>25</v>
      </c>
    </row>
    <row r="18" spans="2:18" x14ac:dyDescent="0.25">
      <c r="J18" s="9"/>
      <c r="K18" s="9" t="s">
        <v>30</v>
      </c>
      <c r="L18" s="9" t="s">
        <v>31</v>
      </c>
      <c r="M18" s="9" t="s">
        <v>32</v>
      </c>
      <c r="N18" s="9" t="s">
        <v>33</v>
      </c>
      <c r="O18" s="9" t="s">
        <v>34</v>
      </c>
    </row>
    <row r="19" spans="2:18" x14ac:dyDescent="0.25">
      <c r="J19" t="s">
        <v>26</v>
      </c>
      <c r="K19">
        <v>1</v>
      </c>
      <c r="L19">
        <v>449951450.51505876</v>
      </c>
      <c r="M19">
        <v>449951450.51505876</v>
      </c>
      <c r="N19">
        <v>39.359026520001606</v>
      </c>
      <c r="O19">
        <v>3.2950504578203961E-3</v>
      </c>
    </row>
    <row r="20" spans="2:18" ht="26.25" x14ac:dyDescent="0.25">
      <c r="B20" s="5" t="s">
        <v>60</v>
      </c>
      <c r="J20" t="s">
        <v>27</v>
      </c>
      <c r="K20">
        <v>4</v>
      </c>
      <c r="L20">
        <v>45727904.401944585</v>
      </c>
      <c r="M20">
        <v>11431976.100486146</v>
      </c>
    </row>
    <row r="21" spans="2:18" ht="15.75" thickBot="1" x14ac:dyDescent="0.3">
      <c r="J21" s="8" t="s">
        <v>28</v>
      </c>
      <c r="K21" s="8">
        <v>5</v>
      </c>
      <c r="L21" s="8">
        <v>495679354.91700333</v>
      </c>
      <c r="M21" s="8"/>
      <c r="N21" s="8"/>
      <c r="O21" s="8"/>
    </row>
    <row r="22" spans="2:18" ht="15.75" thickBot="1" x14ac:dyDescent="0.3"/>
    <row r="23" spans="2:18" x14ac:dyDescent="0.25">
      <c r="J23" s="9"/>
      <c r="K23" s="9" t="s">
        <v>35</v>
      </c>
      <c r="L23" s="9" t="s">
        <v>23</v>
      </c>
      <c r="M23" s="9" t="s">
        <v>36</v>
      </c>
      <c r="N23" s="9" t="s">
        <v>37</v>
      </c>
      <c r="O23" s="9" t="s">
        <v>38</v>
      </c>
      <c r="P23" s="9" t="s">
        <v>39</v>
      </c>
      <c r="Q23" s="9" t="s">
        <v>40</v>
      </c>
      <c r="R23" s="9" t="s">
        <v>41</v>
      </c>
    </row>
    <row r="24" spans="2:18" ht="15.75" thickBot="1" x14ac:dyDescent="0.3">
      <c r="J24" t="s">
        <v>29</v>
      </c>
      <c r="K24">
        <v>49634.02708480796</v>
      </c>
      <c r="L24">
        <v>9969.3084160419912</v>
      </c>
      <c r="M24">
        <v>4.9786830754418201</v>
      </c>
      <c r="N24">
        <v>7.6044434957271544E-3</v>
      </c>
      <c r="O24">
        <v>21954.789530881008</v>
      </c>
      <c r="P24">
        <v>77313.264638734909</v>
      </c>
      <c r="Q24">
        <v>21954.789530881008</v>
      </c>
      <c r="R24">
        <v>77313.264638734909</v>
      </c>
    </row>
    <row r="25" spans="2:18" ht="15.75" thickBot="1" x14ac:dyDescent="0.3">
      <c r="B25" s="10"/>
      <c r="C25" s="10"/>
      <c r="J25" s="8" t="s">
        <v>42</v>
      </c>
      <c r="K25" s="8">
        <v>5.7665447545225304E-2</v>
      </c>
      <c r="L25" s="8">
        <v>9.1916502937783879E-3</v>
      </c>
      <c r="M25" s="8">
        <v>6.2736772725413292</v>
      </c>
      <c r="N25" s="8">
        <v>3.2950504578203926E-3</v>
      </c>
      <c r="O25" s="8">
        <v>3.2145335078374443E-2</v>
      </c>
      <c r="P25" s="8">
        <v>8.3185560012076165E-2</v>
      </c>
      <c r="Q25" s="8">
        <v>3.2145335078374443E-2</v>
      </c>
      <c r="R25" s="8">
        <v>8.3185560012076165E-2</v>
      </c>
    </row>
    <row r="29" spans="2:18" x14ac:dyDescent="0.25">
      <c r="B29" t="s">
        <v>18</v>
      </c>
    </row>
    <row r="30" spans="2:18" ht="15.75" thickBot="1" x14ac:dyDescent="0.3"/>
    <row r="31" spans="2:18" x14ac:dyDescent="0.25">
      <c r="B31" s="10" t="s">
        <v>19</v>
      </c>
      <c r="C31" s="10"/>
    </row>
    <row r="32" spans="2:18" x14ac:dyDescent="0.25">
      <c r="B32" t="s">
        <v>20</v>
      </c>
      <c r="C32">
        <v>0.68658548136462549</v>
      </c>
    </row>
    <row r="33" spans="2:10" x14ac:dyDescent="0.25">
      <c r="B33" t="s">
        <v>21</v>
      </c>
      <c r="C33">
        <v>0.47139962322069445</v>
      </c>
    </row>
    <row r="34" spans="2:10" x14ac:dyDescent="0.25">
      <c r="B34" t="s">
        <v>22</v>
      </c>
      <c r="C34">
        <v>0.11899937203449069</v>
      </c>
    </row>
    <row r="35" spans="2:10" x14ac:dyDescent="0.25">
      <c r="B35" t="s">
        <v>23</v>
      </c>
      <c r="C35">
        <v>18.769197756851739</v>
      </c>
    </row>
    <row r="36" spans="2:10" ht="15.75" thickBot="1" x14ac:dyDescent="0.3">
      <c r="B36" s="8" t="s">
        <v>24</v>
      </c>
      <c r="C36" s="8">
        <v>6</v>
      </c>
    </row>
    <row r="38" spans="2:10" ht="15.75" thickBot="1" x14ac:dyDescent="0.3">
      <c r="B38" t="s">
        <v>25</v>
      </c>
    </row>
    <row r="39" spans="2:10" x14ac:dyDescent="0.25">
      <c r="B39" s="9"/>
      <c r="C39" s="9" t="s">
        <v>30</v>
      </c>
      <c r="D39" s="9" t="s">
        <v>31</v>
      </c>
      <c r="E39" s="9" t="s">
        <v>32</v>
      </c>
      <c r="F39" s="9" t="s">
        <v>33</v>
      </c>
      <c r="G39" s="9" t="s">
        <v>34</v>
      </c>
    </row>
    <row r="40" spans="2:10" x14ac:dyDescent="0.25">
      <c r="B40" t="s">
        <v>26</v>
      </c>
      <c r="C40">
        <v>2</v>
      </c>
      <c r="D40">
        <v>942.4849800259085</v>
      </c>
      <c r="E40">
        <v>471.24249001295425</v>
      </c>
      <c r="F40">
        <v>1.3376824268255503</v>
      </c>
      <c r="G40">
        <v>0.38431842200568511</v>
      </c>
    </row>
    <row r="41" spans="2:10" x14ac:dyDescent="0.25">
      <c r="B41" t="s">
        <v>27</v>
      </c>
      <c r="C41">
        <v>3</v>
      </c>
      <c r="D41">
        <v>1056.848353307425</v>
      </c>
      <c r="E41">
        <v>352.28278443580831</v>
      </c>
    </row>
    <row r="42" spans="2:10" ht="15.75" thickBot="1" x14ac:dyDescent="0.3">
      <c r="B42" s="8" t="s">
        <v>28</v>
      </c>
      <c r="C42" s="8">
        <v>5</v>
      </c>
      <c r="D42" s="8">
        <v>1999.3333333333335</v>
      </c>
      <c r="E42" s="8"/>
      <c r="F42" s="8"/>
      <c r="G42" s="8"/>
    </row>
    <row r="43" spans="2:10" ht="15.75" thickBot="1" x14ac:dyDescent="0.3"/>
    <row r="44" spans="2:10" x14ac:dyDescent="0.25">
      <c r="B44" s="9"/>
      <c r="C44" s="9" t="s">
        <v>35</v>
      </c>
      <c r="D44" s="9" t="s">
        <v>23</v>
      </c>
      <c r="E44" s="9" t="s">
        <v>36</v>
      </c>
      <c r="F44" s="9" t="s">
        <v>37</v>
      </c>
      <c r="G44" s="9" t="s">
        <v>38</v>
      </c>
      <c r="H44" s="9" t="s">
        <v>39</v>
      </c>
      <c r="I44" s="9" t="s">
        <v>40</v>
      </c>
      <c r="J44" s="9" t="s">
        <v>41</v>
      </c>
    </row>
    <row r="45" spans="2:10" x14ac:dyDescent="0.25">
      <c r="B45" t="s">
        <v>29</v>
      </c>
      <c r="C45">
        <v>124.38105859891795</v>
      </c>
      <c r="D45">
        <v>148.46375726611328</v>
      </c>
      <c r="E45">
        <v>0.83778735557642936</v>
      </c>
      <c r="F45">
        <v>0.46364355709848887</v>
      </c>
      <c r="G45">
        <v>-348.09687718116169</v>
      </c>
      <c r="H45">
        <v>596.85899437899752</v>
      </c>
      <c r="I45">
        <v>-348.09687718116169</v>
      </c>
      <c r="J45">
        <v>596.85899437899752</v>
      </c>
    </row>
    <row r="46" spans="2:10" x14ac:dyDescent="0.25">
      <c r="B46" t="s">
        <v>42</v>
      </c>
      <c r="C46">
        <v>-7.5205313881043751E-5</v>
      </c>
      <c r="D46">
        <v>1.6799188950336052E-4</v>
      </c>
      <c r="E46">
        <v>-0.44767229003361703</v>
      </c>
      <c r="F46">
        <v>0.68474132319225167</v>
      </c>
      <c r="G46">
        <v>-6.0983048194864257E-4</v>
      </c>
      <c r="H46">
        <v>4.5941985418655512E-4</v>
      </c>
      <c r="I46">
        <v>-6.0983048194864257E-4</v>
      </c>
      <c r="J46">
        <v>4.5941985418655512E-4</v>
      </c>
    </row>
    <row r="47" spans="2:10" ht="15.75" thickBot="1" x14ac:dyDescent="0.3">
      <c r="B47" s="8" t="s">
        <v>43</v>
      </c>
      <c r="C47" s="8">
        <v>2.5101134252269309E-3</v>
      </c>
      <c r="D47" s="8">
        <v>2.7755883795533396E-3</v>
      </c>
      <c r="E47" s="8">
        <v>0.90435362956479515</v>
      </c>
      <c r="F47" s="8">
        <v>0.43247087492914205</v>
      </c>
      <c r="G47" s="8">
        <v>-6.323047558270992E-3</v>
      </c>
      <c r="H47" s="8">
        <v>1.1343274408724855E-2</v>
      </c>
      <c r="I47" s="8">
        <v>-6.323047558270992E-3</v>
      </c>
      <c r="J47" s="8">
        <v>1.1343274408724855E-2</v>
      </c>
    </row>
  </sheetData>
  <mergeCells count="1">
    <mergeCell ref="E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5"/>
  <sheetViews>
    <sheetView workbookViewId="0">
      <selection activeCell="I15" sqref="I15"/>
    </sheetView>
  </sheetViews>
  <sheetFormatPr defaultRowHeight="15" x14ac:dyDescent="0.25"/>
  <cols>
    <col min="3" max="3" width="24.42578125" customWidth="1"/>
    <col min="4" max="5" width="26.140625" customWidth="1"/>
    <col min="6" max="6" width="9.140625" customWidth="1"/>
    <col min="7" max="7" width="11.85546875" customWidth="1"/>
    <col min="8" max="8" width="17" customWidth="1"/>
  </cols>
  <sheetData>
    <row r="2" spans="2:19" x14ac:dyDescent="0.25">
      <c r="F2" s="220"/>
      <c r="G2" s="220"/>
      <c r="H2" s="220"/>
      <c r="I2" s="221"/>
    </row>
    <row r="3" spans="2:19" ht="57" x14ac:dyDescent="0.25">
      <c r="B3" s="76" t="s">
        <v>0</v>
      </c>
      <c r="C3" s="76" t="s">
        <v>47</v>
      </c>
      <c r="D3" s="76" t="s">
        <v>2</v>
      </c>
      <c r="E3" s="76" t="s">
        <v>51</v>
      </c>
      <c r="F3" s="76" t="s">
        <v>17</v>
      </c>
      <c r="G3" s="76" t="s">
        <v>47</v>
      </c>
      <c r="H3" s="76" t="s">
        <v>44</v>
      </c>
      <c r="I3" s="99" t="s">
        <v>45</v>
      </c>
    </row>
    <row r="4" spans="2:19" ht="15.75" x14ac:dyDescent="0.25">
      <c r="B4" s="20">
        <v>2015</v>
      </c>
      <c r="C4" s="26">
        <v>872584</v>
      </c>
      <c r="D4" s="194" t="s">
        <v>59</v>
      </c>
      <c r="E4" s="193">
        <v>999</v>
      </c>
      <c r="F4" s="20">
        <v>1.9</v>
      </c>
      <c r="G4" s="26">
        <v>872584</v>
      </c>
      <c r="H4" s="84">
        <f>(D4+E4)+(G4*0.019)</f>
        <v>20275.096000000001</v>
      </c>
      <c r="I4" s="2">
        <v>33</v>
      </c>
    </row>
    <row r="5" spans="2:19" ht="15.75" x14ac:dyDescent="0.25">
      <c r="B5" s="20">
        <v>2016</v>
      </c>
      <c r="C5" s="4">
        <v>972692</v>
      </c>
      <c r="D5" s="51">
        <v>3185</v>
      </c>
      <c r="E5" s="193">
        <v>1108</v>
      </c>
      <c r="F5" s="20">
        <v>1.9</v>
      </c>
      <c r="G5" s="4">
        <v>972692</v>
      </c>
      <c r="H5" s="84">
        <f t="shared" ref="H5:H9" si="0">(D5+E5)+(G5*0.019)</f>
        <v>22774.148000000001</v>
      </c>
      <c r="I5" s="2">
        <v>34</v>
      </c>
    </row>
    <row r="6" spans="2:19" ht="15.75" x14ac:dyDescent="0.25">
      <c r="B6" s="20">
        <v>2017</v>
      </c>
      <c r="C6" s="4">
        <v>1030577</v>
      </c>
      <c r="D6" s="94">
        <v>3192</v>
      </c>
      <c r="E6" s="193">
        <v>812</v>
      </c>
      <c r="F6" s="20">
        <v>1.9</v>
      </c>
      <c r="G6" s="4">
        <v>1030577</v>
      </c>
      <c r="H6" s="84">
        <f t="shared" si="0"/>
        <v>23584.963</v>
      </c>
      <c r="I6" s="2">
        <v>31</v>
      </c>
    </row>
    <row r="7" spans="2:19" ht="15.75" x14ac:dyDescent="0.25">
      <c r="B7" s="20">
        <v>2018</v>
      </c>
      <c r="C7" s="47">
        <v>1078384</v>
      </c>
      <c r="D7" s="98">
        <v>3334</v>
      </c>
      <c r="E7" s="193">
        <v>721</v>
      </c>
      <c r="F7" s="20">
        <v>1.9</v>
      </c>
      <c r="G7" s="47">
        <v>1078384</v>
      </c>
      <c r="H7" s="84">
        <f t="shared" si="0"/>
        <v>24544.295999999998</v>
      </c>
      <c r="I7" s="2">
        <v>30</v>
      </c>
    </row>
    <row r="8" spans="2:19" s="38" customFormat="1" ht="15.75" x14ac:dyDescent="0.25">
      <c r="B8" s="36">
        <v>2019</v>
      </c>
      <c r="C8" s="89">
        <v>1136156</v>
      </c>
      <c r="D8" s="94">
        <v>2454</v>
      </c>
      <c r="E8" s="193">
        <v>1268</v>
      </c>
      <c r="F8" s="36">
        <v>1.9</v>
      </c>
      <c r="G8" s="89">
        <v>1136156</v>
      </c>
      <c r="H8" s="84">
        <f t="shared" si="0"/>
        <v>25308.964</v>
      </c>
      <c r="I8" s="91">
        <v>44</v>
      </c>
      <c r="K8"/>
      <c r="L8"/>
      <c r="M8"/>
      <c r="N8"/>
      <c r="O8"/>
      <c r="P8"/>
      <c r="Q8"/>
      <c r="R8"/>
      <c r="S8"/>
    </row>
    <row r="9" spans="2:19" ht="15.75" x14ac:dyDescent="0.25">
      <c r="B9" s="20">
        <v>2022</v>
      </c>
      <c r="C9" s="14">
        <v>1354556</v>
      </c>
      <c r="D9" s="51">
        <v>2885</v>
      </c>
      <c r="E9" s="193">
        <v>6233</v>
      </c>
      <c r="F9" s="20">
        <v>1.9</v>
      </c>
      <c r="G9" s="14">
        <v>1354556</v>
      </c>
      <c r="H9" s="84">
        <f t="shared" si="0"/>
        <v>34854.563999999998</v>
      </c>
      <c r="I9" s="2">
        <v>36</v>
      </c>
      <c r="K9" t="s">
        <v>18</v>
      </c>
    </row>
    <row r="10" spans="2:19" ht="15.75" thickBot="1" x14ac:dyDescent="0.3">
      <c r="B10" s="23">
        <v>2023</v>
      </c>
      <c r="C10" s="12">
        <v>1379000</v>
      </c>
      <c r="D10" s="22"/>
      <c r="E10" s="22"/>
      <c r="G10" s="12">
        <v>1379000</v>
      </c>
      <c r="H10" s="21">
        <f>$L$25+$L$26*G10</f>
        <v>34281.114971013041</v>
      </c>
      <c r="I10" s="82">
        <f>$C$41+$C$42*G10+$C$43*H10</f>
        <v>38.037416382134737</v>
      </c>
    </row>
    <row r="11" spans="2:19" x14ac:dyDescent="0.25">
      <c r="B11" s="23">
        <v>2024</v>
      </c>
      <c r="C11" s="12">
        <v>1434000</v>
      </c>
      <c r="D11" s="22"/>
      <c r="E11" s="22"/>
      <c r="G11" s="12">
        <v>1434000</v>
      </c>
      <c r="H11" s="21">
        <f t="shared" ref="H11:H17" si="1">$L$25+$L$26*G11</f>
        <v>35915.27182909644</v>
      </c>
      <c r="I11" s="82">
        <f t="shared" ref="I11:I17" si="2">$C$41+$C$42*G11+$C$43*H11</f>
        <v>38.645571871568578</v>
      </c>
      <c r="K11" s="201" t="s">
        <v>19</v>
      </c>
      <c r="L11" s="201"/>
    </row>
    <row r="12" spans="2:19" x14ac:dyDescent="0.25">
      <c r="B12" s="23">
        <v>2025</v>
      </c>
      <c r="C12" s="12">
        <v>1490000</v>
      </c>
      <c r="D12" s="88"/>
      <c r="E12" s="88"/>
      <c r="G12" s="12">
        <v>1490000</v>
      </c>
      <c r="H12" s="21">
        <f t="shared" si="1"/>
        <v>37579.140630054084</v>
      </c>
      <c r="I12" s="82">
        <f t="shared" si="2"/>
        <v>39.264784733537581</v>
      </c>
      <c r="K12" s="198" t="s">
        <v>20</v>
      </c>
      <c r="L12" s="198">
        <v>0.97214286473204481</v>
      </c>
    </row>
    <row r="13" spans="2:19" x14ac:dyDescent="0.25">
      <c r="B13" s="23">
        <v>2026</v>
      </c>
      <c r="C13" s="12">
        <v>1545000</v>
      </c>
      <c r="D13" s="22"/>
      <c r="E13" s="22"/>
      <c r="G13" s="12">
        <v>1545000</v>
      </c>
      <c r="H13" s="21">
        <f t="shared" si="1"/>
        <v>39213.29748813749</v>
      </c>
      <c r="I13" s="82">
        <f t="shared" si="2"/>
        <v>39.872940222971408</v>
      </c>
      <c r="K13" s="198" t="s">
        <v>21</v>
      </c>
      <c r="L13" s="198">
        <v>0.94506174944942667</v>
      </c>
    </row>
    <row r="14" spans="2:19" x14ac:dyDescent="0.25">
      <c r="B14" s="23">
        <v>2027</v>
      </c>
      <c r="C14" s="12">
        <v>1601000</v>
      </c>
      <c r="D14" s="22"/>
      <c r="E14" s="22"/>
      <c r="G14" s="12">
        <v>1601000</v>
      </c>
      <c r="H14" s="21">
        <f t="shared" si="1"/>
        <v>40877.166289095134</v>
      </c>
      <c r="I14" s="82">
        <f t="shared" si="2"/>
        <v>40.492153084940412</v>
      </c>
      <c r="K14" s="198" t="s">
        <v>22</v>
      </c>
      <c r="L14" s="198">
        <v>0.93132718681178339</v>
      </c>
    </row>
    <row r="15" spans="2:19" x14ac:dyDescent="0.25">
      <c r="B15" s="23">
        <v>2028</v>
      </c>
      <c r="C15" s="12">
        <v>1656000</v>
      </c>
      <c r="D15" s="22"/>
      <c r="E15" s="22"/>
      <c r="G15" s="12">
        <v>1656000</v>
      </c>
      <c r="H15" s="21">
        <f t="shared" si="1"/>
        <v>42511.323147178533</v>
      </c>
      <c r="I15" s="82">
        <f t="shared" si="2"/>
        <v>41.100308574374282</v>
      </c>
      <c r="K15" s="198" t="s">
        <v>23</v>
      </c>
      <c r="L15" s="198">
        <v>1317.5755793345184</v>
      </c>
    </row>
    <row r="16" spans="2:19" ht="15.75" thickBot="1" x14ac:dyDescent="0.3">
      <c r="B16" s="23">
        <v>2029</v>
      </c>
      <c r="C16" s="12">
        <v>1712000</v>
      </c>
      <c r="D16" s="22"/>
      <c r="E16" s="22"/>
      <c r="G16" s="12">
        <v>1712000</v>
      </c>
      <c r="H16" s="21">
        <f t="shared" si="1"/>
        <v>44175.191948136177</v>
      </c>
      <c r="I16" s="82">
        <f t="shared" si="2"/>
        <v>41.719521436343285</v>
      </c>
      <c r="K16" s="199" t="s">
        <v>24</v>
      </c>
      <c r="L16" s="199">
        <v>6</v>
      </c>
    </row>
    <row r="17" spans="2:19" x14ac:dyDescent="0.25">
      <c r="B17" s="23">
        <v>2030</v>
      </c>
      <c r="C17" s="12">
        <v>1768000</v>
      </c>
      <c r="D17" s="22"/>
      <c r="E17" s="22"/>
      <c r="G17" s="12">
        <v>1768000</v>
      </c>
      <c r="H17" s="21">
        <f t="shared" si="1"/>
        <v>45839.06074909382</v>
      </c>
      <c r="I17" s="82">
        <f t="shared" si="2"/>
        <v>42.338734298312289</v>
      </c>
    </row>
    <row r="18" spans="2:19" ht="15.75" thickBot="1" x14ac:dyDescent="0.3">
      <c r="K18" t="s">
        <v>25</v>
      </c>
    </row>
    <row r="19" spans="2:19" x14ac:dyDescent="0.25">
      <c r="K19" s="200"/>
      <c r="L19" s="200" t="s">
        <v>30</v>
      </c>
      <c r="M19" s="200" t="s">
        <v>31</v>
      </c>
      <c r="N19" s="200" t="s">
        <v>32</v>
      </c>
      <c r="O19" s="200" t="s">
        <v>33</v>
      </c>
      <c r="P19" s="200" t="s">
        <v>34</v>
      </c>
    </row>
    <row r="20" spans="2:19" ht="26.25" x14ac:dyDescent="0.25">
      <c r="B20" s="5" t="s">
        <v>58</v>
      </c>
      <c r="K20" s="198" t="s">
        <v>26</v>
      </c>
      <c r="L20" s="198">
        <v>1</v>
      </c>
      <c r="M20" s="198">
        <v>119452825.00230201</v>
      </c>
      <c r="N20" s="198">
        <v>119452825.00230201</v>
      </c>
      <c r="O20" s="198">
        <v>68.809016667136262</v>
      </c>
      <c r="P20" s="198">
        <v>1.153221131154646E-3</v>
      </c>
    </row>
    <row r="21" spans="2:19" x14ac:dyDescent="0.25">
      <c r="K21" s="198" t="s">
        <v>27</v>
      </c>
      <c r="L21" s="198">
        <v>4</v>
      </c>
      <c r="M21" s="198">
        <v>6944021.6290347669</v>
      </c>
      <c r="N21" s="198">
        <v>1736005.4072586917</v>
      </c>
      <c r="O21" s="198"/>
      <c r="P21" s="198"/>
    </row>
    <row r="22" spans="2:19" ht="15.75" thickBot="1" x14ac:dyDescent="0.3">
      <c r="K22" s="199" t="s">
        <v>28</v>
      </c>
      <c r="L22" s="199">
        <v>5</v>
      </c>
      <c r="M22" s="199">
        <v>126396846.63133678</v>
      </c>
      <c r="N22" s="199"/>
      <c r="O22" s="199"/>
      <c r="P22" s="199"/>
    </row>
    <row r="23" spans="2:19" ht="15.75" thickBot="1" x14ac:dyDescent="0.3"/>
    <row r="24" spans="2:19" x14ac:dyDescent="0.25">
      <c r="K24" s="200"/>
      <c r="L24" s="200" t="s">
        <v>35</v>
      </c>
      <c r="M24" s="200" t="s">
        <v>23</v>
      </c>
      <c r="N24" s="200" t="s">
        <v>36</v>
      </c>
      <c r="O24" s="200" t="s">
        <v>37</v>
      </c>
      <c r="P24" s="200" t="s">
        <v>38</v>
      </c>
      <c r="Q24" s="200" t="s">
        <v>39</v>
      </c>
      <c r="R24" s="200" t="s">
        <v>40</v>
      </c>
      <c r="S24" s="200" t="s">
        <v>41</v>
      </c>
    </row>
    <row r="25" spans="2:19" x14ac:dyDescent="0.25">
      <c r="B25" t="s">
        <v>18</v>
      </c>
      <c r="K25" s="198" t="s">
        <v>29</v>
      </c>
      <c r="L25" s="198">
        <v>-6691.6542525689583</v>
      </c>
      <c r="M25" s="198">
        <v>3884.9006297197566</v>
      </c>
      <c r="N25" s="198">
        <v>-1.7224775844656988</v>
      </c>
      <c r="O25" s="198">
        <v>0.16008520447365587</v>
      </c>
      <c r="P25" s="198">
        <v>-17477.867590134199</v>
      </c>
      <c r="Q25" s="198">
        <v>4094.5590849962846</v>
      </c>
      <c r="R25" s="198">
        <v>-17477.867590134199</v>
      </c>
      <c r="S25" s="198">
        <v>4094.5590849962846</v>
      </c>
    </row>
    <row r="26" spans="2:19" ht="15.75" thickBot="1" x14ac:dyDescent="0.3">
      <c r="K26" s="199" t="s">
        <v>42</v>
      </c>
      <c r="L26" s="199">
        <v>2.9711942874243655E-2</v>
      </c>
      <c r="M26" s="199">
        <v>3.5818580912797631E-3</v>
      </c>
      <c r="N26" s="199">
        <v>8.2951200513998771</v>
      </c>
      <c r="O26" s="199">
        <v>1.1532211311546449E-3</v>
      </c>
      <c r="P26" s="199">
        <v>1.9767110509196845E-2</v>
      </c>
      <c r="Q26" s="199">
        <v>3.9656775239290468E-2</v>
      </c>
      <c r="R26" s="199">
        <v>1.9767110509196845E-2</v>
      </c>
      <c r="S26" s="199">
        <v>3.9656775239290468E-2</v>
      </c>
    </row>
    <row r="27" spans="2:19" x14ac:dyDescent="0.25">
      <c r="B27" s="201" t="s">
        <v>19</v>
      </c>
      <c r="C27" s="201"/>
    </row>
    <row r="28" spans="2:19" x14ac:dyDescent="0.25">
      <c r="B28" s="198" t="s">
        <v>20</v>
      </c>
      <c r="C28" s="198">
        <v>0.53504680527815085</v>
      </c>
    </row>
    <row r="29" spans="2:19" x14ac:dyDescent="0.25">
      <c r="B29" s="198" t="s">
        <v>21</v>
      </c>
      <c r="C29" s="198">
        <v>0.28627508383835543</v>
      </c>
    </row>
    <row r="30" spans="2:19" x14ac:dyDescent="0.25">
      <c r="B30" s="198" t="s">
        <v>22</v>
      </c>
      <c r="C30" s="198">
        <v>-0.18954152693607429</v>
      </c>
    </row>
    <row r="31" spans="2:19" x14ac:dyDescent="0.25">
      <c r="B31" s="198" t="s">
        <v>23</v>
      </c>
      <c r="C31" s="198">
        <v>5.5039674374616983</v>
      </c>
    </row>
    <row r="32" spans="2:19" ht="15.75" thickBot="1" x14ac:dyDescent="0.3">
      <c r="B32" s="199" t="s">
        <v>24</v>
      </c>
      <c r="C32" s="199">
        <v>6</v>
      </c>
    </row>
    <row r="34" spans="2:11" ht="15.75" thickBot="1" x14ac:dyDescent="0.3">
      <c r="B34" t="s">
        <v>25</v>
      </c>
    </row>
    <row r="35" spans="2:11" x14ac:dyDescent="0.25">
      <c r="B35" s="200"/>
      <c r="C35" s="200" t="s">
        <v>30</v>
      </c>
      <c r="D35" s="200" t="s">
        <v>31</v>
      </c>
      <c r="E35" s="200" t="s">
        <v>32</v>
      </c>
      <c r="F35" s="200" t="s">
        <v>33</v>
      </c>
      <c r="G35" s="200" t="s">
        <v>34</v>
      </c>
    </row>
    <row r="36" spans="2:11" x14ac:dyDescent="0.25">
      <c r="B36" s="198" t="s">
        <v>26</v>
      </c>
      <c r="C36" s="198">
        <v>2</v>
      </c>
      <c r="D36" s="198">
        <v>36.452360675417253</v>
      </c>
      <c r="E36" s="198">
        <v>18.226180337708627</v>
      </c>
      <c r="F36" s="198">
        <v>0.60165004196137606</v>
      </c>
      <c r="G36" s="198">
        <v>0.60297080870083952</v>
      </c>
    </row>
    <row r="37" spans="2:11" x14ac:dyDescent="0.25">
      <c r="B37" s="198" t="s">
        <v>27</v>
      </c>
      <c r="C37" s="198">
        <v>3</v>
      </c>
      <c r="D37" s="198">
        <v>90.880972657916075</v>
      </c>
      <c r="E37" s="198">
        <v>30.293657552638692</v>
      </c>
      <c r="F37" s="198"/>
      <c r="G37" s="198"/>
    </row>
    <row r="38" spans="2:11" ht="15.75" thickBot="1" x14ac:dyDescent="0.3">
      <c r="B38" s="199" t="s">
        <v>28</v>
      </c>
      <c r="C38" s="199">
        <v>5</v>
      </c>
      <c r="D38" s="199">
        <v>127.33333333333333</v>
      </c>
      <c r="E38" s="199"/>
      <c r="F38" s="199"/>
      <c r="G38" s="199"/>
    </row>
    <row r="39" spans="2:11" ht="15.75" thickBot="1" x14ac:dyDescent="0.3"/>
    <row r="40" spans="2:11" x14ac:dyDescent="0.25">
      <c r="B40" s="200"/>
      <c r="C40" s="200" t="s">
        <v>35</v>
      </c>
      <c r="D40" s="200" t="s">
        <v>23</v>
      </c>
      <c r="E40" s="200" t="s">
        <v>36</v>
      </c>
      <c r="F40" s="200" t="s">
        <v>37</v>
      </c>
      <c r="G40" s="200" t="s">
        <v>38</v>
      </c>
      <c r="H40" s="200" t="s">
        <v>39</v>
      </c>
      <c r="I40" s="200" t="s">
        <v>40</v>
      </c>
      <c r="J40" s="200" t="s">
        <v>41</v>
      </c>
    </row>
    <row r="41" spans="2:11" ht="15.75" thickBot="1" x14ac:dyDescent="0.3">
      <c r="B41" s="198" t="s">
        <v>29</v>
      </c>
      <c r="C41" s="198">
        <v>11.458862316445511</v>
      </c>
      <c r="D41" s="198">
        <v>21.417606310672586</v>
      </c>
      <c r="E41" s="198">
        <v>0.53502068112697809</v>
      </c>
      <c r="F41" s="198">
        <v>0.62975158186673519</v>
      </c>
      <c r="G41" s="198">
        <v>-56.701519754975514</v>
      </c>
      <c r="H41" s="198">
        <v>79.61924438786653</v>
      </c>
      <c r="I41" s="198">
        <v>-56.701519754975514</v>
      </c>
      <c r="J41" s="198">
        <v>79.61924438786653</v>
      </c>
    </row>
    <row r="42" spans="2:11" x14ac:dyDescent="0.25">
      <c r="B42" s="198" t="s">
        <v>42</v>
      </c>
      <c r="C42" s="198">
        <v>6.1366204144055672E-5</v>
      </c>
      <c r="D42" s="198">
        <v>6.3836825465805536E-5</v>
      </c>
      <c r="E42" s="198">
        <v>0.96129786680772111</v>
      </c>
      <c r="F42" s="198">
        <v>0.4073170390141575</v>
      </c>
      <c r="G42" s="198">
        <v>-1.4179106520063815E-4</v>
      </c>
      <c r="H42" s="198">
        <v>2.6452347348874953E-4</v>
      </c>
      <c r="I42" s="198">
        <v>-1.4179106520063815E-4</v>
      </c>
      <c r="J42" s="198">
        <v>2.6452347348874953E-4</v>
      </c>
      <c r="K42" s="9"/>
    </row>
    <row r="43" spans="2:11" ht="15.75" thickBot="1" x14ac:dyDescent="0.3">
      <c r="B43" s="199" t="s">
        <v>43</v>
      </c>
      <c r="C43" s="199">
        <v>-1.6932191819911584E-3</v>
      </c>
      <c r="D43" s="199">
        <v>2.0886723781878397E-3</v>
      </c>
      <c r="E43" s="199">
        <v>-0.81066767563624231</v>
      </c>
      <c r="F43" s="199">
        <v>0.47689721266376467</v>
      </c>
      <c r="G43" s="199">
        <v>-8.3403068749031868E-3</v>
      </c>
      <c r="H43" s="199">
        <v>4.95386851092087E-3</v>
      </c>
      <c r="I43" s="199">
        <v>-8.3403068749031868E-3</v>
      </c>
      <c r="J43" s="199">
        <v>4.95386851092087E-3</v>
      </c>
    </row>
    <row r="45" spans="2:11" ht="15.75" thickBot="1" x14ac:dyDescent="0.3">
      <c r="K45" s="8"/>
    </row>
  </sheetData>
  <mergeCells count="1">
    <mergeCell ref="F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zoomScaleNormal="100" workbookViewId="0">
      <selection activeCell="I17" sqref="I17"/>
    </sheetView>
  </sheetViews>
  <sheetFormatPr defaultRowHeight="15" x14ac:dyDescent="0.25"/>
  <cols>
    <col min="3" max="3" width="24.42578125" customWidth="1"/>
    <col min="4" max="4" width="26.140625" customWidth="1"/>
    <col min="5" max="5" width="25.85546875" customWidth="1"/>
    <col min="6" max="6" width="9.140625" customWidth="1"/>
    <col min="7" max="7" width="20.7109375" customWidth="1"/>
    <col min="8" max="8" width="22.7109375" customWidth="1"/>
  </cols>
  <sheetData>
    <row r="1" spans="1:12" x14ac:dyDescent="0.25">
      <c r="E1" s="59" t="s">
        <v>46</v>
      </c>
    </row>
    <row r="2" spans="1:12" x14ac:dyDescent="0.25">
      <c r="B2" s="12"/>
      <c r="C2" s="12"/>
      <c r="D2" s="12"/>
      <c r="E2" s="12"/>
      <c r="F2" s="12"/>
      <c r="G2" s="12"/>
      <c r="H2" s="12"/>
      <c r="I2" s="2"/>
    </row>
    <row r="3" spans="1:12" ht="48" customHeight="1" x14ac:dyDescent="0.25">
      <c r="A3" s="22"/>
      <c r="B3" s="76" t="s">
        <v>0</v>
      </c>
      <c r="C3" s="76" t="s">
        <v>47</v>
      </c>
      <c r="D3" s="76" t="s">
        <v>2</v>
      </c>
      <c r="E3" s="76" t="s">
        <v>51</v>
      </c>
      <c r="F3" s="76" t="s">
        <v>17</v>
      </c>
      <c r="G3" s="76" t="s">
        <v>47</v>
      </c>
      <c r="H3" s="76" t="s">
        <v>44</v>
      </c>
      <c r="I3" s="93" t="s">
        <v>45</v>
      </c>
    </row>
    <row r="4" spans="1:12" ht="15.75" x14ac:dyDescent="0.25">
      <c r="A4" s="22"/>
      <c r="B4" s="15">
        <v>2015</v>
      </c>
      <c r="C4" s="26">
        <v>872584</v>
      </c>
      <c r="D4" s="48">
        <v>42507.929559999997</v>
      </c>
      <c r="E4" s="45">
        <v>16586</v>
      </c>
      <c r="F4" s="20">
        <v>1.9</v>
      </c>
      <c r="G4" s="26">
        <v>872584</v>
      </c>
      <c r="H4" s="84">
        <f>(D4+E4)+(G4*0.019)</f>
        <v>75673.025559999995</v>
      </c>
      <c r="I4" s="23">
        <v>30</v>
      </c>
    </row>
    <row r="5" spans="1:12" ht="15.75" x14ac:dyDescent="0.25">
      <c r="A5" s="22"/>
      <c r="B5" s="15">
        <v>2016</v>
      </c>
      <c r="C5" s="26">
        <v>972692</v>
      </c>
      <c r="D5" s="48">
        <v>48407.962763999996</v>
      </c>
      <c r="E5" s="45">
        <v>23073</v>
      </c>
      <c r="F5" s="20">
        <v>1.9</v>
      </c>
      <c r="G5" s="26">
        <v>972692</v>
      </c>
      <c r="H5" s="84">
        <f t="shared" ref="H5:H9" si="0">(D5+E5)+(G5*0.019)</f>
        <v>89962.110763999997</v>
      </c>
      <c r="I5" s="23">
        <v>34</v>
      </c>
    </row>
    <row r="6" spans="1:12" ht="15.75" x14ac:dyDescent="0.25">
      <c r="A6" s="22"/>
      <c r="B6" s="15">
        <v>2017</v>
      </c>
      <c r="C6" s="26">
        <v>1030577</v>
      </c>
      <c r="D6" s="48">
        <v>48141.343401000006</v>
      </c>
      <c r="E6" s="45">
        <v>25625</v>
      </c>
      <c r="F6" s="20">
        <v>1.9</v>
      </c>
      <c r="G6" s="26">
        <v>1030577</v>
      </c>
      <c r="H6" s="84">
        <f t="shared" si="0"/>
        <v>93347.306401000009</v>
      </c>
      <c r="I6" s="23">
        <v>41</v>
      </c>
    </row>
    <row r="7" spans="1:12" ht="15.75" x14ac:dyDescent="0.25">
      <c r="A7" s="22"/>
      <c r="B7" s="15">
        <v>2018</v>
      </c>
      <c r="C7" s="72">
        <v>1078384</v>
      </c>
      <c r="D7" s="62">
        <v>54308.496624000007</v>
      </c>
      <c r="E7" s="71">
        <v>22522</v>
      </c>
      <c r="F7" s="36">
        <v>1.9</v>
      </c>
      <c r="G7" s="72">
        <v>1078384</v>
      </c>
      <c r="H7" s="84">
        <f t="shared" si="0"/>
        <v>97319.792624000009</v>
      </c>
      <c r="I7" s="23">
        <v>37</v>
      </c>
    </row>
    <row r="8" spans="1:12" s="38" customFormat="1" ht="15.75" x14ac:dyDescent="0.25">
      <c r="A8" s="88"/>
      <c r="B8" s="37">
        <v>2019</v>
      </c>
      <c r="C8" s="73">
        <v>1136156</v>
      </c>
      <c r="D8" s="62">
        <v>59948.135183999999</v>
      </c>
      <c r="E8" s="90">
        <v>28609</v>
      </c>
      <c r="F8" s="36">
        <v>1.9</v>
      </c>
      <c r="G8" s="73">
        <v>1136156</v>
      </c>
      <c r="H8" s="84">
        <f t="shared" si="0"/>
        <v>110144.09918399999</v>
      </c>
      <c r="I8" s="92">
        <v>58</v>
      </c>
    </row>
    <row r="9" spans="1:12" ht="15.75" x14ac:dyDescent="0.25">
      <c r="A9" s="22"/>
      <c r="B9" s="15">
        <v>2022</v>
      </c>
      <c r="C9" s="74">
        <v>1354556</v>
      </c>
      <c r="D9" s="62">
        <v>63091.154812000001</v>
      </c>
      <c r="E9" s="90">
        <v>52929</v>
      </c>
      <c r="F9" s="36">
        <v>1.9</v>
      </c>
      <c r="G9" s="74">
        <v>1354556</v>
      </c>
      <c r="H9" s="84">
        <f t="shared" si="0"/>
        <v>141756.71881200001</v>
      </c>
      <c r="I9" s="23">
        <v>64</v>
      </c>
    </row>
    <row r="10" spans="1:12" x14ac:dyDescent="0.25">
      <c r="A10" s="22"/>
      <c r="B10" s="15">
        <v>2023</v>
      </c>
      <c r="C10" s="15">
        <v>1379000</v>
      </c>
      <c r="D10" s="15"/>
      <c r="E10" s="15"/>
      <c r="F10" s="15"/>
      <c r="G10" s="15">
        <v>1379000</v>
      </c>
      <c r="H10" s="29">
        <f>$L$28+$L$29*G10</f>
        <v>143131.74225057015</v>
      </c>
      <c r="I10" s="86">
        <f>$C$40+$C$41*G10+$C$42*H10</f>
        <v>67.461134889677083</v>
      </c>
    </row>
    <row r="11" spans="1:12" x14ac:dyDescent="0.25">
      <c r="A11" s="22"/>
      <c r="B11" s="15">
        <v>2024</v>
      </c>
      <c r="C11" s="15">
        <v>1434000</v>
      </c>
      <c r="D11" s="15"/>
      <c r="E11" s="15"/>
      <c r="F11" s="15"/>
      <c r="G11" s="15">
        <v>1434000</v>
      </c>
      <c r="H11" s="29">
        <f t="shared" ref="H11:H17" si="1">$L$28+$L$29*G11</f>
        <v>150666.96516601276</v>
      </c>
      <c r="I11" s="86">
        <f t="shared" ref="I11:I17" si="2">$C$40+$C$41*G11+$C$42*H11</f>
        <v>71.694026434851878</v>
      </c>
    </row>
    <row r="12" spans="1:12" x14ac:dyDescent="0.25">
      <c r="A12" s="22"/>
      <c r="B12" s="15">
        <v>2025</v>
      </c>
      <c r="C12" s="15">
        <v>1490000</v>
      </c>
      <c r="D12" s="15"/>
      <c r="E12" s="15"/>
      <c r="F12" s="15"/>
      <c r="G12" s="15">
        <v>1490000</v>
      </c>
      <c r="H12" s="29">
        <f t="shared" si="1"/>
        <v>158339.19213446334</v>
      </c>
      <c r="I12" s="86">
        <f t="shared" si="2"/>
        <v>76.003879644484329</v>
      </c>
      <c r="K12" t="s">
        <v>18</v>
      </c>
    </row>
    <row r="13" spans="1:12" ht="15.75" thickBot="1" x14ac:dyDescent="0.3">
      <c r="A13" s="22"/>
      <c r="B13" s="15">
        <v>2026</v>
      </c>
      <c r="C13" s="15">
        <v>1545000</v>
      </c>
      <c r="D13" s="15"/>
      <c r="E13" s="15"/>
      <c r="F13" s="15"/>
      <c r="G13" s="15">
        <v>1545000</v>
      </c>
      <c r="H13" s="29">
        <f t="shared" si="1"/>
        <v>165874.41504990595</v>
      </c>
      <c r="I13" s="86">
        <f t="shared" si="2"/>
        <v>80.236771189659123</v>
      </c>
    </row>
    <row r="14" spans="1:12" x14ac:dyDescent="0.25">
      <c r="A14" s="22"/>
      <c r="B14" s="15">
        <v>2027</v>
      </c>
      <c r="C14" s="15">
        <v>1601000</v>
      </c>
      <c r="D14" s="15"/>
      <c r="E14" s="15"/>
      <c r="F14" s="15"/>
      <c r="G14" s="15">
        <v>1601000</v>
      </c>
      <c r="H14" s="29">
        <f t="shared" si="1"/>
        <v>173546.64201835654</v>
      </c>
      <c r="I14" s="86">
        <f t="shared" si="2"/>
        <v>84.546624399291559</v>
      </c>
      <c r="K14" s="10" t="s">
        <v>19</v>
      </c>
      <c r="L14" s="10"/>
    </row>
    <row r="15" spans="1:12" x14ac:dyDescent="0.25">
      <c r="A15" s="22"/>
      <c r="B15" s="15">
        <v>2028</v>
      </c>
      <c r="C15" s="15">
        <v>1656000</v>
      </c>
      <c r="D15" s="15"/>
      <c r="E15" s="15"/>
      <c r="F15" s="15"/>
      <c r="G15" s="15">
        <v>1656000</v>
      </c>
      <c r="H15" s="29">
        <f t="shared" si="1"/>
        <v>181081.86493379914</v>
      </c>
      <c r="I15" s="86">
        <f t="shared" si="2"/>
        <v>88.779515944466368</v>
      </c>
      <c r="K15" t="s">
        <v>20</v>
      </c>
      <c r="L15">
        <v>0.99231250516678748</v>
      </c>
    </row>
    <row r="16" spans="1:12" x14ac:dyDescent="0.25">
      <c r="A16" s="22"/>
      <c r="B16" s="15">
        <v>2029</v>
      </c>
      <c r="C16" s="15">
        <v>1712000</v>
      </c>
      <c r="D16" s="15"/>
      <c r="E16" s="15"/>
      <c r="F16" s="15"/>
      <c r="G16" s="15">
        <v>1712000</v>
      </c>
      <c r="H16" s="29">
        <f t="shared" si="1"/>
        <v>188754.09190224978</v>
      </c>
      <c r="I16" s="86">
        <f t="shared" si="2"/>
        <v>93.089369154098847</v>
      </c>
      <c r="K16" t="s">
        <v>21</v>
      </c>
      <c r="L16">
        <v>0.98468410791038563</v>
      </c>
    </row>
    <row r="17" spans="1:19" x14ac:dyDescent="0.25">
      <c r="A17" s="22"/>
      <c r="B17" s="15">
        <v>2030</v>
      </c>
      <c r="C17" s="15">
        <v>1768000</v>
      </c>
      <c r="D17" s="15"/>
      <c r="E17" s="15"/>
      <c r="F17" s="15"/>
      <c r="G17" s="15">
        <v>1768000</v>
      </c>
      <c r="H17" s="29">
        <f t="shared" si="1"/>
        <v>196426.31887070037</v>
      </c>
      <c r="I17" s="86">
        <f t="shared" si="2"/>
        <v>97.399222363731297</v>
      </c>
      <c r="K17" t="s">
        <v>22</v>
      </c>
      <c r="L17">
        <v>0.98085513488798215</v>
      </c>
    </row>
    <row r="18" spans="1:19" x14ac:dyDescent="0.25">
      <c r="K18" t="s">
        <v>23</v>
      </c>
      <c r="L18">
        <v>3142.6300947104919</v>
      </c>
    </row>
    <row r="19" spans="1:19" ht="15.75" thickBot="1" x14ac:dyDescent="0.3">
      <c r="K19" s="8" t="s">
        <v>24</v>
      </c>
      <c r="L19" s="8">
        <v>6</v>
      </c>
    </row>
    <row r="20" spans="1:19" x14ac:dyDescent="0.25">
      <c r="B20" s="5"/>
    </row>
    <row r="21" spans="1:19" ht="15.75" thickBot="1" x14ac:dyDescent="0.3">
      <c r="K21" t="s">
        <v>25</v>
      </c>
    </row>
    <row r="22" spans="1:19" x14ac:dyDescent="0.25">
      <c r="B22" s="6" t="s">
        <v>57</v>
      </c>
      <c r="C22" s="7"/>
      <c r="K22" s="9"/>
      <c r="L22" s="9" t="s">
        <v>30</v>
      </c>
      <c r="M22" s="9" t="s">
        <v>31</v>
      </c>
      <c r="N22" s="9" t="s">
        <v>32</v>
      </c>
      <c r="O22" s="9" t="s">
        <v>33</v>
      </c>
      <c r="P22" s="9" t="s">
        <v>34</v>
      </c>
    </row>
    <row r="23" spans="1:19" x14ac:dyDescent="0.25">
      <c r="K23" t="s">
        <v>26</v>
      </c>
      <c r="L23">
        <v>1</v>
      </c>
      <c r="M23">
        <v>2539809553.9395499</v>
      </c>
      <c r="N23">
        <v>2539809553.9395499</v>
      </c>
      <c r="O23">
        <v>257.16663506087048</v>
      </c>
      <c r="P23">
        <v>8.8419209057810487E-5</v>
      </c>
    </row>
    <row r="24" spans="1:19" x14ac:dyDescent="0.25">
      <c r="B24" t="s">
        <v>18</v>
      </c>
      <c r="K24" t="s">
        <v>27</v>
      </c>
      <c r="L24">
        <v>4</v>
      </c>
      <c r="M24">
        <v>39504495.648720302</v>
      </c>
      <c r="N24">
        <v>9876123.9121800754</v>
      </c>
    </row>
    <row r="25" spans="1:19" ht="15.75" thickBot="1" x14ac:dyDescent="0.3">
      <c r="K25" s="8" t="s">
        <v>28</v>
      </c>
      <c r="L25" s="8">
        <v>5</v>
      </c>
      <c r="M25" s="8">
        <v>2579314049.5882702</v>
      </c>
      <c r="N25" s="8"/>
      <c r="O25" s="8"/>
      <c r="P25" s="8"/>
    </row>
    <row r="26" spans="1:19" ht="15.75" thickBot="1" x14ac:dyDescent="0.3">
      <c r="B26" s="10" t="s">
        <v>19</v>
      </c>
      <c r="C26" s="10"/>
    </row>
    <row r="27" spans="1:19" x14ac:dyDescent="0.25">
      <c r="B27" t="s">
        <v>20</v>
      </c>
      <c r="C27">
        <v>0.93154744004931689</v>
      </c>
      <c r="K27" s="9"/>
      <c r="L27" s="9" t="s">
        <v>35</v>
      </c>
      <c r="M27" s="9" t="s">
        <v>23</v>
      </c>
      <c r="N27" s="9" t="s">
        <v>36</v>
      </c>
      <c r="O27" s="9" t="s">
        <v>37</v>
      </c>
      <c r="P27" s="9" t="s">
        <v>38</v>
      </c>
      <c r="Q27" s="9" t="s">
        <v>39</v>
      </c>
      <c r="R27" s="9" t="s">
        <v>40</v>
      </c>
      <c r="S27" s="9" t="s">
        <v>41</v>
      </c>
    </row>
    <row r="28" spans="1:19" x14ac:dyDescent="0.25">
      <c r="B28" t="s">
        <v>21</v>
      </c>
      <c r="C28">
        <v>0.86778063306243558</v>
      </c>
      <c r="K28" t="s">
        <v>29</v>
      </c>
      <c r="L28">
        <v>-45796.846847526453</v>
      </c>
      <c r="M28">
        <v>9266.1140851468099</v>
      </c>
      <c r="N28">
        <v>-4.942400495687493</v>
      </c>
      <c r="O28">
        <v>7.8033964868269431E-3</v>
      </c>
      <c r="P28">
        <v>-71523.703943436645</v>
      </c>
      <c r="Q28">
        <v>-20069.989751616264</v>
      </c>
      <c r="R28">
        <v>-71523.703943436645</v>
      </c>
      <c r="S28">
        <v>-20069.989751616264</v>
      </c>
    </row>
    <row r="29" spans="1:19" ht="15.75" thickBot="1" x14ac:dyDescent="0.3">
      <c r="B29" t="s">
        <v>22</v>
      </c>
      <c r="C29">
        <v>0.77963438843739274</v>
      </c>
      <c r="K29" s="8" t="s">
        <v>42</v>
      </c>
      <c r="L29" s="8">
        <v>0.13700405300804686</v>
      </c>
      <c r="M29" s="8">
        <v>8.5433087932029507E-3</v>
      </c>
      <c r="N29" s="8">
        <v>16.036415904461649</v>
      </c>
      <c r="O29" s="8">
        <v>8.8419209057810487E-5</v>
      </c>
      <c r="P29" s="8">
        <v>0.11328402512696525</v>
      </c>
      <c r="Q29" s="8">
        <v>0.16072408088912846</v>
      </c>
      <c r="R29" s="8">
        <v>0.11328402512696525</v>
      </c>
      <c r="S29" s="8">
        <v>0.16072408088912846</v>
      </c>
    </row>
    <row r="30" spans="1:19" x14ac:dyDescent="0.25">
      <c r="B30" t="s">
        <v>23</v>
      </c>
      <c r="C30">
        <v>6.4706619597144313</v>
      </c>
    </row>
    <row r="31" spans="1:19" ht="15.75" thickBot="1" x14ac:dyDescent="0.3">
      <c r="B31" s="8" t="s">
        <v>24</v>
      </c>
      <c r="C31" s="8">
        <v>6</v>
      </c>
    </row>
    <row r="33" spans="2:12" ht="15.75" thickBot="1" x14ac:dyDescent="0.3">
      <c r="B33" t="s">
        <v>25</v>
      </c>
    </row>
    <row r="34" spans="2:12" x14ac:dyDescent="0.25">
      <c r="B34" s="9"/>
      <c r="C34" s="9" t="s">
        <v>30</v>
      </c>
      <c r="D34" s="9" t="s">
        <v>31</v>
      </c>
      <c r="E34" s="9" t="s">
        <v>32</v>
      </c>
      <c r="F34" s="9" t="s">
        <v>33</v>
      </c>
      <c r="G34" s="9" t="s">
        <v>34</v>
      </c>
    </row>
    <row r="35" spans="2:12" x14ac:dyDescent="0.25">
      <c r="B35" t="s">
        <v>26</v>
      </c>
      <c r="C35">
        <v>2</v>
      </c>
      <c r="D35">
        <v>824.39160140931381</v>
      </c>
      <c r="E35">
        <v>412.1958007046569</v>
      </c>
      <c r="F35">
        <v>9.844782801057562</v>
      </c>
      <c r="G35">
        <v>4.8077581213811275E-2</v>
      </c>
    </row>
    <row r="36" spans="2:12" x14ac:dyDescent="0.25">
      <c r="B36" t="s">
        <v>27</v>
      </c>
      <c r="C36">
        <v>3</v>
      </c>
      <c r="D36">
        <v>125.60839859068624</v>
      </c>
      <c r="E36">
        <v>41.869466196895409</v>
      </c>
    </row>
    <row r="37" spans="2:12" ht="15.75" thickBot="1" x14ac:dyDescent="0.3">
      <c r="B37" s="8" t="s">
        <v>28</v>
      </c>
      <c r="C37" s="8">
        <v>5</v>
      </c>
      <c r="D37" s="8">
        <v>950</v>
      </c>
      <c r="E37" s="8"/>
      <c r="F37" s="8"/>
      <c r="G37" s="8"/>
    </row>
    <row r="38" spans="2:12" ht="15.75" thickBot="1" x14ac:dyDescent="0.3"/>
    <row r="39" spans="2:12" x14ac:dyDescent="0.25">
      <c r="B39" s="9"/>
      <c r="C39" s="9" t="s">
        <v>35</v>
      </c>
      <c r="D39" s="9" t="s">
        <v>23</v>
      </c>
      <c r="E39" s="9" t="s">
        <v>36</v>
      </c>
      <c r="F39" s="9" t="s">
        <v>37</v>
      </c>
      <c r="G39" s="9" t="s">
        <v>38</v>
      </c>
      <c r="H39" s="9" t="s">
        <v>39</v>
      </c>
      <c r="I39" s="9" t="s">
        <v>40</v>
      </c>
      <c r="J39" s="9" t="s">
        <v>41</v>
      </c>
      <c r="L39" s="9"/>
    </row>
    <row r="40" spans="2:12" x14ac:dyDescent="0.25">
      <c r="B40" t="s">
        <v>29</v>
      </c>
      <c r="C40">
        <v>-3.778636011503508</v>
      </c>
      <c r="D40">
        <v>50.861723624926519</v>
      </c>
      <c r="E40">
        <v>-7.4292331092996197E-2</v>
      </c>
      <c r="F40">
        <v>0.94545419449831514</v>
      </c>
      <c r="G40">
        <v>-165.64334044201206</v>
      </c>
      <c r="H40">
        <v>158.08606841900502</v>
      </c>
      <c r="I40">
        <v>-165.64334044201206</v>
      </c>
      <c r="J40">
        <v>158.08606841900502</v>
      </c>
    </row>
    <row r="41" spans="2:12" x14ac:dyDescent="0.25">
      <c r="B41" t="s">
        <v>42</v>
      </c>
      <c r="C41">
        <v>-2.7414982863149238E-5</v>
      </c>
      <c r="D41">
        <v>1.421380660156427E-4</v>
      </c>
      <c r="E41">
        <v>-0.19287572732368641</v>
      </c>
      <c r="F41">
        <v>0.85937523616610312</v>
      </c>
      <c r="G41">
        <v>-4.7976174589480327E-4</v>
      </c>
      <c r="H41">
        <v>4.2493178016850481E-4</v>
      </c>
      <c r="I41">
        <v>-4.7976174589480327E-4</v>
      </c>
      <c r="J41">
        <v>4.2493178016850481E-4</v>
      </c>
    </row>
    <row r="42" spans="2:12" ht="15.75" thickBot="1" x14ac:dyDescent="0.3">
      <c r="B42" s="8" t="s">
        <v>43</v>
      </c>
      <c r="C42" s="8">
        <v>7.6185079951424279E-4</v>
      </c>
      <c r="D42" s="8">
        <v>1.029497867185436E-3</v>
      </c>
      <c r="E42" s="8">
        <v>0.74002173661328829</v>
      </c>
      <c r="F42" s="8">
        <v>0.51293803085660028</v>
      </c>
      <c r="G42" s="8">
        <v>-2.5144708842075067E-3</v>
      </c>
      <c r="H42" s="8">
        <v>4.0381724832359925E-3</v>
      </c>
      <c r="I42" s="8">
        <v>-2.5144708842075067E-3</v>
      </c>
      <c r="J42" s="8">
        <v>4.0381724832359925E-3</v>
      </c>
      <c r="L42" s="8"/>
    </row>
    <row r="43" spans="2:12" ht="15.75" thickBot="1" x14ac:dyDescent="0.3"/>
    <row r="44" spans="2:12" x14ac:dyDescent="0.25">
      <c r="K44" s="9"/>
    </row>
    <row r="47" spans="2:12" ht="15.75" thickBot="1" x14ac:dyDescent="0.3">
      <c r="C47" s="8"/>
      <c r="D47" s="8"/>
      <c r="E47" s="8"/>
      <c r="F47" s="8"/>
      <c r="G47" s="8"/>
      <c r="H47" s="8"/>
      <c r="I47" s="8"/>
      <c r="J47" s="8"/>
      <c r="K47" s="8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>
      <selection activeCell="I17" sqref="I17"/>
    </sheetView>
  </sheetViews>
  <sheetFormatPr defaultRowHeight="15" x14ac:dyDescent="0.25"/>
  <cols>
    <col min="3" max="3" width="24.42578125" customWidth="1"/>
    <col min="4" max="4" width="26.140625" customWidth="1"/>
    <col min="5" max="5" width="25.85546875" customWidth="1"/>
    <col min="6" max="6" width="9.140625" customWidth="1"/>
    <col min="7" max="7" width="23.7109375" customWidth="1"/>
    <col min="8" max="8" width="22.7109375" customWidth="1"/>
  </cols>
  <sheetData>
    <row r="1" spans="1:16" x14ac:dyDescent="0.25">
      <c r="E1" s="59" t="s">
        <v>46</v>
      </c>
    </row>
    <row r="2" spans="1:16" x14ac:dyDescent="0.25">
      <c r="B2" s="12"/>
      <c r="C2" s="12"/>
      <c r="D2" s="12"/>
      <c r="E2" s="12"/>
      <c r="F2" s="12"/>
      <c r="G2" s="12"/>
      <c r="H2" s="12"/>
      <c r="I2" s="2"/>
    </row>
    <row r="3" spans="1:16" ht="30" x14ac:dyDescent="0.25">
      <c r="A3" s="22"/>
      <c r="B3" s="15" t="s">
        <v>0</v>
      </c>
      <c r="C3" s="15" t="s">
        <v>50</v>
      </c>
      <c r="D3" s="15" t="s">
        <v>2</v>
      </c>
      <c r="E3" s="15" t="s">
        <v>16</v>
      </c>
      <c r="F3" s="15" t="s">
        <v>17</v>
      </c>
      <c r="G3" s="15" t="s">
        <v>50</v>
      </c>
      <c r="H3" s="28" t="s">
        <v>44</v>
      </c>
      <c r="I3" s="2" t="s">
        <v>45</v>
      </c>
    </row>
    <row r="4" spans="1:16" x14ac:dyDescent="0.25">
      <c r="A4" s="22"/>
      <c r="B4" s="15">
        <v>2015</v>
      </c>
      <c r="C4" s="26">
        <v>255009</v>
      </c>
      <c r="D4" s="44">
        <v>7527.3556620000008</v>
      </c>
      <c r="E4" s="45">
        <v>171034</v>
      </c>
      <c r="F4" s="20">
        <v>1.9</v>
      </c>
      <c r="G4" s="26">
        <v>255009</v>
      </c>
      <c r="H4" s="84">
        <f>(D4+E4)+(G4*0.019)</f>
        <v>183406.52666199999</v>
      </c>
      <c r="I4" s="2">
        <v>395</v>
      </c>
    </row>
    <row r="5" spans="1:16" x14ac:dyDescent="0.25">
      <c r="A5" s="22"/>
      <c r="B5" s="15">
        <v>2016</v>
      </c>
      <c r="C5" s="26">
        <v>282695</v>
      </c>
      <c r="D5" s="44">
        <v>10557.527469999999</v>
      </c>
      <c r="E5" s="45">
        <v>187331</v>
      </c>
      <c r="F5" s="20">
        <v>1.9</v>
      </c>
      <c r="G5" s="26">
        <v>282695</v>
      </c>
      <c r="H5" s="84">
        <f t="shared" ref="H5:H9" si="0">(D5+E5)+(G5*0.019)</f>
        <v>203259.73246999999</v>
      </c>
      <c r="I5" s="2">
        <v>379</v>
      </c>
      <c r="K5" t="s">
        <v>18</v>
      </c>
    </row>
    <row r="6" spans="1:16" ht="15.75" thickBot="1" x14ac:dyDescent="0.3">
      <c r="A6" s="22"/>
      <c r="B6" s="15">
        <v>2017</v>
      </c>
      <c r="C6" s="26">
        <v>294557</v>
      </c>
      <c r="D6" s="44">
        <v>22615.202788999999</v>
      </c>
      <c r="E6" s="45">
        <v>177795</v>
      </c>
      <c r="F6" s="20">
        <v>1.9</v>
      </c>
      <c r="G6" s="26">
        <v>294557</v>
      </c>
      <c r="H6" s="84">
        <f t="shared" si="0"/>
        <v>206006.78578900002</v>
      </c>
      <c r="I6" s="2">
        <v>401</v>
      </c>
    </row>
    <row r="7" spans="1:16" x14ac:dyDescent="0.25">
      <c r="A7" s="22"/>
      <c r="B7" s="15">
        <v>2018</v>
      </c>
      <c r="C7" s="73">
        <v>301185</v>
      </c>
      <c r="D7" s="44">
        <v>42449.013900000005</v>
      </c>
      <c r="E7" s="45">
        <v>208887</v>
      </c>
      <c r="F7" s="20">
        <v>1.9</v>
      </c>
      <c r="G7" s="30">
        <v>301185</v>
      </c>
      <c r="H7" s="84">
        <f t="shared" si="0"/>
        <v>257058.52890000003</v>
      </c>
      <c r="I7" s="2">
        <v>396</v>
      </c>
      <c r="K7" s="10" t="s">
        <v>19</v>
      </c>
      <c r="L7" s="10"/>
    </row>
    <row r="8" spans="1:16" x14ac:dyDescent="0.25">
      <c r="A8" s="22"/>
      <c r="B8" s="15">
        <v>2019</v>
      </c>
      <c r="C8" s="73">
        <v>310780</v>
      </c>
      <c r="D8" s="44">
        <v>28473.352819999996</v>
      </c>
      <c r="E8" s="45">
        <v>157120</v>
      </c>
      <c r="F8" s="20">
        <v>1.9</v>
      </c>
      <c r="G8" s="30">
        <v>310780</v>
      </c>
      <c r="H8" s="84">
        <f t="shared" si="0"/>
        <v>191498.17282000001</v>
      </c>
      <c r="I8" s="2">
        <v>442</v>
      </c>
      <c r="K8" t="s">
        <v>20</v>
      </c>
      <c r="L8">
        <v>0.87753089815155194</v>
      </c>
    </row>
    <row r="9" spans="1:16" x14ac:dyDescent="0.25">
      <c r="A9" s="22"/>
      <c r="B9" s="15">
        <v>2022</v>
      </c>
      <c r="C9" s="74">
        <v>373335</v>
      </c>
      <c r="D9" s="44">
        <v>33941.751525</v>
      </c>
      <c r="E9" s="45">
        <v>293346</v>
      </c>
      <c r="F9" s="20">
        <v>1.9</v>
      </c>
      <c r="G9" s="31">
        <v>373335</v>
      </c>
      <c r="H9" s="84">
        <f t="shared" si="0"/>
        <v>334381.11652499996</v>
      </c>
      <c r="I9" s="2">
        <v>514</v>
      </c>
      <c r="K9" t="s">
        <v>21</v>
      </c>
      <c r="L9">
        <v>0.77006047721066939</v>
      </c>
    </row>
    <row r="10" spans="1:16" x14ac:dyDescent="0.25">
      <c r="A10" s="22"/>
      <c r="B10" s="15">
        <v>2023</v>
      </c>
      <c r="C10" s="87">
        <v>377900</v>
      </c>
      <c r="D10" s="15"/>
      <c r="E10" s="15"/>
      <c r="F10" s="15"/>
      <c r="G10" s="11">
        <v>377900</v>
      </c>
      <c r="H10" s="84">
        <f>$L$21+$L$22*G10</f>
        <v>325171.17028361402</v>
      </c>
      <c r="I10" s="82">
        <f>$F$40+$F$41*G10+$F$42*H10</f>
        <v>507.88843922373889</v>
      </c>
      <c r="K10" t="s">
        <v>22</v>
      </c>
      <c r="L10">
        <v>0.71257559651333668</v>
      </c>
    </row>
    <row r="11" spans="1:16" x14ac:dyDescent="0.25">
      <c r="A11" s="22"/>
      <c r="B11" s="15">
        <v>2024</v>
      </c>
      <c r="C11" s="87">
        <v>392500</v>
      </c>
      <c r="D11" s="15"/>
      <c r="E11" s="15"/>
      <c r="F11" s="15"/>
      <c r="G11" s="11">
        <v>392500</v>
      </c>
      <c r="H11" s="84">
        <f t="shared" ref="H11:H17" si="1">$L$21+$L$22*G11</f>
        <v>343846.90963618457</v>
      </c>
      <c r="I11" s="82">
        <f t="shared" ref="I11:I17" si="2">$F$40+$F$41*G11+$F$42*H11</f>
        <v>524.77631972320546</v>
      </c>
      <c r="K11" t="s">
        <v>23</v>
      </c>
      <c r="L11">
        <v>30861.532494834839</v>
      </c>
    </row>
    <row r="12" spans="1:16" ht="15.75" thickBot="1" x14ac:dyDescent="0.3">
      <c r="A12" s="22"/>
      <c r="B12" s="15">
        <v>2025</v>
      </c>
      <c r="C12" s="87">
        <v>406700</v>
      </c>
      <c r="D12" s="15"/>
      <c r="E12" s="15"/>
      <c r="F12" s="15"/>
      <c r="G12" s="11">
        <v>406700</v>
      </c>
      <c r="H12" s="84">
        <f t="shared" si="1"/>
        <v>362010.98489690386</v>
      </c>
      <c r="I12" s="82">
        <f t="shared" si="2"/>
        <v>541.20151856515224</v>
      </c>
      <c r="K12" s="8" t="s">
        <v>24</v>
      </c>
      <c r="L12" s="8">
        <v>6</v>
      </c>
    </row>
    <row r="13" spans="1:16" x14ac:dyDescent="0.25">
      <c r="A13" s="22"/>
      <c r="B13" s="15">
        <v>2026</v>
      </c>
      <c r="C13" s="87">
        <v>421000</v>
      </c>
      <c r="D13" s="15"/>
      <c r="E13" s="15"/>
      <c r="F13" s="15"/>
      <c r="G13" s="11">
        <v>421000</v>
      </c>
      <c r="H13" s="84">
        <f t="shared" si="1"/>
        <v>380302.97618058597</v>
      </c>
      <c r="I13" s="82">
        <f t="shared" si="2"/>
        <v>557.74238782147904</v>
      </c>
    </row>
    <row r="14" spans="1:16" ht="15.75" thickBot="1" x14ac:dyDescent="0.3">
      <c r="A14" s="22"/>
      <c r="B14" s="15">
        <v>2027</v>
      </c>
      <c r="C14" s="87">
        <v>435500</v>
      </c>
      <c r="D14" s="15"/>
      <c r="E14" s="15"/>
      <c r="F14" s="15"/>
      <c r="G14" s="11">
        <v>435500</v>
      </c>
      <c r="H14" s="84">
        <f t="shared" si="1"/>
        <v>398850.7995101937</v>
      </c>
      <c r="I14" s="82">
        <f t="shared" si="2"/>
        <v>574.51459790656577</v>
      </c>
      <c r="K14" t="s">
        <v>25</v>
      </c>
    </row>
    <row r="15" spans="1:16" x14ac:dyDescent="0.25">
      <c r="A15" s="22"/>
      <c r="B15" s="15">
        <v>2028</v>
      </c>
      <c r="C15" s="87">
        <v>450000</v>
      </c>
      <c r="D15" s="15"/>
      <c r="E15" s="15"/>
      <c r="F15" s="15"/>
      <c r="G15" s="11">
        <v>450000</v>
      </c>
      <c r="H15" s="84">
        <f t="shared" si="1"/>
        <v>417398.62283980154</v>
      </c>
      <c r="I15" s="82">
        <f t="shared" si="2"/>
        <v>591.28680799165227</v>
      </c>
      <c r="K15" s="9"/>
      <c r="L15" s="9" t="s">
        <v>30</v>
      </c>
      <c r="M15" s="9" t="s">
        <v>31</v>
      </c>
      <c r="N15" s="9" t="s">
        <v>32</v>
      </c>
      <c r="O15" s="9" t="s">
        <v>33</v>
      </c>
      <c r="P15" s="9" t="s">
        <v>34</v>
      </c>
    </row>
    <row r="16" spans="1:16" x14ac:dyDescent="0.25">
      <c r="A16" s="22"/>
      <c r="B16" s="15">
        <v>2029</v>
      </c>
      <c r="C16" s="87">
        <v>464400</v>
      </c>
      <c r="D16" s="15"/>
      <c r="E16" s="15"/>
      <c r="F16" s="15"/>
      <c r="G16" s="11">
        <v>464400</v>
      </c>
      <c r="H16" s="84">
        <f t="shared" si="1"/>
        <v>435818.53014644637</v>
      </c>
      <c r="I16" s="82">
        <f t="shared" si="2"/>
        <v>607.94334766235897</v>
      </c>
      <c r="K16" t="s">
        <v>26</v>
      </c>
      <c r="L16">
        <v>1</v>
      </c>
      <c r="M16">
        <v>12758692657.475918</v>
      </c>
      <c r="N16">
        <v>12758692657.475918</v>
      </c>
      <c r="O16">
        <v>13.395878496559199</v>
      </c>
      <c r="P16">
        <v>2.1579583871517816E-2</v>
      </c>
    </row>
    <row r="17" spans="1:19" x14ac:dyDescent="0.25">
      <c r="A17" s="22"/>
      <c r="B17" s="15">
        <v>2030</v>
      </c>
      <c r="C17" s="87">
        <v>478900</v>
      </c>
      <c r="D17" s="15"/>
      <c r="E17" s="15"/>
      <c r="F17" s="15"/>
      <c r="G17" s="11">
        <v>478900</v>
      </c>
      <c r="H17" s="84">
        <f t="shared" si="1"/>
        <v>454366.35347605421</v>
      </c>
      <c r="I17" s="82">
        <f t="shared" si="2"/>
        <v>624.71555774744559</v>
      </c>
      <c r="K17" t="s">
        <v>27</v>
      </c>
      <c r="L17">
        <v>4</v>
      </c>
      <c r="M17">
        <v>3809736751.718987</v>
      </c>
      <c r="N17">
        <v>952434187.92974675</v>
      </c>
    </row>
    <row r="18" spans="1:19" ht="15.75" thickBot="1" x14ac:dyDescent="0.3">
      <c r="K18" s="8" t="s">
        <v>28</v>
      </c>
      <c r="L18" s="8">
        <v>5</v>
      </c>
      <c r="M18" s="8">
        <v>16568429409.194904</v>
      </c>
      <c r="N18" s="8"/>
      <c r="O18" s="8"/>
      <c r="P18" s="8"/>
    </row>
    <row r="19" spans="1:19" ht="15.75" thickBot="1" x14ac:dyDescent="0.3"/>
    <row r="20" spans="1:19" x14ac:dyDescent="0.25">
      <c r="B20" s="5"/>
      <c r="K20" s="9"/>
      <c r="L20" s="9" t="s">
        <v>35</v>
      </c>
      <c r="M20" s="9" t="s">
        <v>23</v>
      </c>
      <c r="N20" s="9" t="s">
        <v>36</v>
      </c>
      <c r="O20" s="9" t="s">
        <v>37</v>
      </c>
      <c r="P20" s="9" t="s">
        <v>38</v>
      </c>
      <c r="Q20" s="9" t="s">
        <v>39</v>
      </c>
      <c r="R20" s="9" t="s">
        <v>40</v>
      </c>
      <c r="S20" s="9" t="s">
        <v>41</v>
      </c>
    </row>
    <row r="21" spans="1:19" x14ac:dyDescent="0.25">
      <c r="K21" t="s">
        <v>29</v>
      </c>
      <c r="L21">
        <v>-158223.48049285269</v>
      </c>
      <c r="M21">
        <v>106618.06463768883</v>
      </c>
      <c r="N21">
        <v>-1.484021315060728</v>
      </c>
      <c r="O21">
        <v>0.21196477324163074</v>
      </c>
      <c r="P21">
        <v>-454242.68418182578</v>
      </c>
      <c r="Q21">
        <v>137795.72319612041</v>
      </c>
      <c r="R21">
        <v>-454242.68418182578</v>
      </c>
      <c r="S21">
        <v>137795.72319612041</v>
      </c>
    </row>
    <row r="22" spans="1:19" ht="15.75" thickBot="1" x14ac:dyDescent="0.3">
      <c r="B22" s="6"/>
      <c r="C22" s="7"/>
      <c r="K22" s="8" t="s">
        <v>42</v>
      </c>
      <c r="L22" s="8">
        <v>1.2791602296281204</v>
      </c>
      <c r="M22" s="8">
        <v>0.349493697504834</v>
      </c>
      <c r="N22" s="8">
        <v>3.6600380457802899</v>
      </c>
      <c r="O22" s="8">
        <v>2.1579583871517798E-2</v>
      </c>
      <c r="P22" s="8">
        <v>0.3088101638933457</v>
      </c>
      <c r="Q22" s="8">
        <v>2.2495102953628949</v>
      </c>
      <c r="R22" s="8">
        <v>0.3088101638933457</v>
      </c>
      <c r="S22" s="8">
        <v>2.2495102953628949</v>
      </c>
    </row>
    <row r="24" spans="1:19" x14ac:dyDescent="0.25">
      <c r="E24" t="s">
        <v>18</v>
      </c>
    </row>
    <row r="25" spans="1:19" ht="15.75" thickBot="1" x14ac:dyDescent="0.3"/>
    <row r="26" spans="1:19" x14ac:dyDescent="0.25">
      <c r="E26" s="10" t="s">
        <v>19</v>
      </c>
      <c r="F26" s="10"/>
    </row>
    <row r="27" spans="1:19" x14ac:dyDescent="0.25">
      <c r="E27" t="s">
        <v>20</v>
      </c>
      <c r="F27">
        <v>0.91443956482648669</v>
      </c>
    </row>
    <row r="28" spans="1:19" x14ac:dyDescent="0.25">
      <c r="E28" t="s">
        <v>21</v>
      </c>
      <c r="F28">
        <v>0.83619971772005441</v>
      </c>
    </row>
    <row r="29" spans="1:19" x14ac:dyDescent="0.25">
      <c r="E29" t="s">
        <v>22</v>
      </c>
      <c r="F29">
        <v>0.72699952953342406</v>
      </c>
    </row>
    <row r="30" spans="1:19" x14ac:dyDescent="0.25">
      <c r="E30" t="s">
        <v>23</v>
      </c>
      <c r="F30">
        <v>26.181960990840423</v>
      </c>
    </row>
    <row r="31" spans="1:19" ht="15.75" thickBot="1" x14ac:dyDescent="0.3">
      <c r="E31" s="8" t="s">
        <v>24</v>
      </c>
      <c r="F31" s="8">
        <v>6</v>
      </c>
    </row>
    <row r="33" spans="5:13" ht="15.75" thickBot="1" x14ac:dyDescent="0.3">
      <c r="E33" t="s">
        <v>25</v>
      </c>
    </row>
    <row r="34" spans="5:13" x14ac:dyDescent="0.25">
      <c r="E34" s="9"/>
      <c r="F34" s="9" t="s">
        <v>30</v>
      </c>
      <c r="G34" s="9" t="s">
        <v>31</v>
      </c>
      <c r="H34" s="9" t="s">
        <v>32</v>
      </c>
      <c r="I34" s="9" t="s">
        <v>33</v>
      </c>
      <c r="J34" s="9" t="s">
        <v>34</v>
      </c>
    </row>
    <row r="35" spans="5:13" x14ac:dyDescent="0.25">
      <c r="E35" t="s">
        <v>26</v>
      </c>
      <c r="F35">
        <v>2</v>
      </c>
      <c r="G35">
        <v>10498.348089355663</v>
      </c>
      <c r="H35">
        <v>5249.1740446778313</v>
      </c>
      <c r="I35">
        <v>7.6574933762104314</v>
      </c>
      <c r="J35">
        <v>6.6293655753205977E-2</v>
      </c>
    </row>
    <row r="36" spans="5:13" x14ac:dyDescent="0.25">
      <c r="E36" t="s">
        <v>27</v>
      </c>
      <c r="F36">
        <v>3</v>
      </c>
      <c r="G36">
        <v>2056.4852439776691</v>
      </c>
      <c r="H36">
        <v>685.49508132588971</v>
      </c>
    </row>
    <row r="37" spans="5:13" ht="15.75" thickBot="1" x14ac:dyDescent="0.3">
      <c r="E37" s="8" t="s">
        <v>28</v>
      </c>
      <c r="F37" s="8">
        <v>5</v>
      </c>
      <c r="G37" s="8">
        <v>12554.833333333332</v>
      </c>
      <c r="H37" s="8"/>
      <c r="I37" s="8"/>
      <c r="J37" s="8"/>
    </row>
    <row r="38" spans="5:13" ht="15.75" thickBot="1" x14ac:dyDescent="0.3"/>
    <row r="39" spans="5:13" x14ac:dyDescent="0.25">
      <c r="E39" s="9"/>
      <c r="F39" s="9" t="s">
        <v>35</v>
      </c>
      <c r="G39" s="9" t="s">
        <v>23</v>
      </c>
      <c r="H39" s="9" t="s">
        <v>36</v>
      </c>
      <c r="I39" s="9" t="s">
        <v>37</v>
      </c>
      <c r="J39" s="9" t="s">
        <v>38</v>
      </c>
      <c r="K39" s="9" t="s">
        <v>39</v>
      </c>
      <c r="L39" s="9" t="s">
        <v>40</v>
      </c>
      <c r="M39" s="9" t="s">
        <v>41</v>
      </c>
    </row>
    <row r="40" spans="5:13" x14ac:dyDescent="0.25">
      <c r="E40" t="s">
        <v>29</v>
      </c>
      <c r="F40">
        <v>50.015788906918154</v>
      </c>
      <c r="G40">
        <v>112.6321933360162</v>
      </c>
      <c r="H40">
        <v>0.44406299323059256</v>
      </c>
      <c r="I40">
        <v>0.68707500044825631</v>
      </c>
      <c r="J40">
        <v>-308.43011863128703</v>
      </c>
      <c r="K40">
        <v>408.46169644512332</v>
      </c>
      <c r="L40">
        <v>-308.43011863128703</v>
      </c>
      <c r="M40">
        <v>408.46169644512332</v>
      </c>
    </row>
    <row r="41" spans="5:13" x14ac:dyDescent="0.25">
      <c r="E41" t="s">
        <v>42</v>
      </c>
      <c r="F41">
        <v>1.3244914329773926E-3</v>
      </c>
      <c r="G41">
        <v>6.183255877104224E-4</v>
      </c>
      <c r="H41">
        <v>2.1420614952743726</v>
      </c>
      <c r="I41">
        <v>0.12161593572446391</v>
      </c>
      <c r="J41">
        <v>-6.432965490940194E-4</v>
      </c>
      <c r="K41">
        <v>3.2922794150488047E-3</v>
      </c>
      <c r="L41">
        <v>-6.432965490940194E-4</v>
      </c>
      <c r="M41">
        <v>3.2922794150488047E-3</v>
      </c>
    </row>
    <row r="42" spans="5:13" ht="15.75" thickBot="1" x14ac:dyDescent="0.3">
      <c r="E42" s="8" t="s">
        <v>43</v>
      </c>
      <c r="F42" s="8">
        <v>-1.3116987637044924E-4</v>
      </c>
      <c r="G42" s="8">
        <v>4.2418439517257254E-4</v>
      </c>
      <c r="H42" s="8">
        <v>-0.30922843429231972</v>
      </c>
      <c r="I42" s="8">
        <v>0.77738039886689037</v>
      </c>
      <c r="J42" s="8">
        <v>-1.4811139375464075E-3</v>
      </c>
      <c r="K42" s="8">
        <v>1.2187741848055089E-3</v>
      </c>
      <c r="L42" s="8">
        <v>-1.4811139375464075E-3</v>
      </c>
      <c r="M42" s="8">
        <v>1.2187741848055089E-3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6"/>
  <sheetViews>
    <sheetView workbookViewId="0">
      <selection activeCell="I19" sqref="I19"/>
    </sheetView>
  </sheetViews>
  <sheetFormatPr defaultRowHeight="15" x14ac:dyDescent="0.25"/>
  <cols>
    <col min="3" max="3" width="24.42578125" customWidth="1"/>
    <col min="4" max="4" width="26.140625" customWidth="1"/>
    <col min="5" max="5" width="14.7109375" customWidth="1"/>
    <col min="6" max="6" width="9.140625" customWidth="1"/>
    <col min="7" max="7" width="19.7109375" customWidth="1"/>
    <col min="8" max="8" width="16.140625" customWidth="1"/>
    <col min="9" max="9" width="11.140625" customWidth="1"/>
  </cols>
  <sheetData>
    <row r="1" spans="2:12" x14ac:dyDescent="0.25">
      <c r="E1" s="59" t="s">
        <v>46</v>
      </c>
    </row>
    <row r="2" spans="2:12" x14ac:dyDescent="0.25">
      <c r="F2" s="12"/>
      <c r="G2" s="12"/>
      <c r="H2" s="12"/>
      <c r="I2" s="15"/>
    </row>
    <row r="3" spans="2:12" ht="60" x14ac:dyDescent="0.25">
      <c r="B3" s="2" t="s">
        <v>0</v>
      </c>
      <c r="C3" s="20" t="s">
        <v>49</v>
      </c>
      <c r="D3" s="19" t="s">
        <v>2</v>
      </c>
      <c r="E3" s="19" t="s">
        <v>16</v>
      </c>
      <c r="F3" s="19" t="s">
        <v>17</v>
      </c>
      <c r="G3" s="20" t="s">
        <v>49</v>
      </c>
      <c r="H3" s="19" t="s">
        <v>44</v>
      </c>
      <c r="I3" s="2" t="s">
        <v>45</v>
      </c>
    </row>
    <row r="4" spans="2:12" hidden="1" x14ac:dyDescent="0.25">
      <c r="B4" s="2">
        <v>2013</v>
      </c>
      <c r="C4" s="20">
        <v>439621</v>
      </c>
      <c r="D4" s="21" t="e">
        <f>#REF!*C4/100000</f>
        <v>#REF!</v>
      </c>
      <c r="E4" s="2"/>
      <c r="F4" s="2"/>
      <c r="G4" s="20">
        <v>439621</v>
      </c>
      <c r="H4" s="2"/>
      <c r="I4" s="2"/>
    </row>
    <row r="5" spans="2:12" hidden="1" x14ac:dyDescent="0.25">
      <c r="B5" s="2">
        <v>2014</v>
      </c>
      <c r="C5" s="20">
        <v>435762</v>
      </c>
      <c r="D5" s="21" t="e">
        <f>#REF!*C5/100000</f>
        <v>#REF!</v>
      </c>
      <c r="E5" s="2"/>
      <c r="F5" s="2"/>
      <c r="G5" s="20">
        <v>435762</v>
      </c>
      <c r="H5" s="2"/>
      <c r="I5" s="2"/>
    </row>
    <row r="6" spans="2:12" ht="15.75" x14ac:dyDescent="0.25">
      <c r="B6" s="2">
        <v>2015</v>
      </c>
      <c r="C6" s="20">
        <v>614062</v>
      </c>
      <c r="D6" s="50">
        <v>7898.0654439999998</v>
      </c>
      <c r="E6" s="45">
        <v>0</v>
      </c>
      <c r="F6" s="2">
        <v>1.9</v>
      </c>
      <c r="G6" s="20">
        <v>614062</v>
      </c>
      <c r="H6" s="84">
        <f>(D6+E6)+(G6*0.019)</f>
        <v>19565.243444</v>
      </c>
      <c r="I6" s="2">
        <v>19</v>
      </c>
    </row>
    <row r="7" spans="2:12" ht="15.75" x14ac:dyDescent="0.25">
      <c r="B7" s="2">
        <v>2016</v>
      </c>
      <c r="C7" s="20">
        <v>674332</v>
      </c>
      <c r="D7" s="50">
        <v>4614.4538759999996</v>
      </c>
      <c r="E7" s="45">
        <v>465</v>
      </c>
      <c r="F7" s="2">
        <v>1.9</v>
      </c>
      <c r="G7" s="20">
        <v>674332</v>
      </c>
      <c r="H7" s="84">
        <f t="shared" ref="H7:H11" si="0">(D7+E7)+(G7*0.019)</f>
        <v>17891.761875999997</v>
      </c>
      <c r="I7" s="2">
        <v>18</v>
      </c>
    </row>
    <row r="8" spans="2:12" ht="15.75" x14ac:dyDescent="0.25">
      <c r="B8" s="2">
        <v>2017</v>
      </c>
      <c r="C8" s="20">
        <v>708307</v>
      </c>
      <c r="D8" s="50">
        <v>4951.0659299999998</v>
      </c>
      <c r="E8" s="45">
        <v>1016</v>
      </c>
      <c r="F8" s="2">
        <v>1.9</v>
      </c>
      <c r="G8" s="20">
        <v>708307</v>
      </c>
      <c r="H8" s="84">
        <f t="shared" si="0"/>
        <v>19424.898929999999</v>
      </c>
      <c r="I8" s="2">
        <v>20</v>
      </c>
    </row>
    <row r="9" spans="2:12" ht="15.75" x14ac:dyDescent="0.25">
      <c r="B9" s="2">
        <v>2018</v>
      </c>
      <c r="C9" s="20">
        <v>732115</v>
      </c>
      <c r="D9" s="50">
        <v>5636.5533850000002</v>
      </c>
      <c r="E9" s="45">
        <v>1212</v>
      </c>
      <c r="F9" s="2">
        <v>1.9</v>
      </c>
      <c r="G9" s="20">
        <v>732115</v>
      </c>
      <c r="H9" s="84">
        <f t="shared" si="0"/>
        <v>20758.738385000001</v>
      </c>
      <c r="I9" s="2">
        <v>18</v>
      </c>
      <c r="K9" t="s">
        <v>18</v>
      </c>
    </row>
    <row r="10" spans="2:12" ht="16.5" thickBot="1" x14ac:dyDescent="0.3">
      <c r="B10" s="2">
        <v>2019</v>
      </c>
      <c r="C10" s="20">
        <v>761998</v>
      </c>
      <c r="D10" s="50">
        <v>6067.0280760000005</v>
      </c>
      <c r="E10" s="45">
        <v>6088</v>
      </c>
      <c r="F10" s="2">
        <v>1.9</v>
      </c>
      <c r="G10" s="20">
        <v>761998</v>
      </c>
      <c r="H10" s="84">
        <f t="shared" si="0"/>
        <v>26632.990076000002</v>
      </c>
      <c r="I10" s="2">
        <v>24</v>
      </c>
    </row>
    <row r="11" spans="2:12" ht="15.75" x14ac:dyDescent="0.25">
      <c r="B11" s="2">
        <v>2022</v>
      </c>
      <c r="C11" s="20">
        <v>910054</v>
      </c>
      <c r="D11" s="50">
        <v>6299.3937880000003</v>
      </c>
      <c r="E11" s="45">
        <v>3840</v>
      </c>
      <c r="F11" s="2">
        <v>1.9</v>
      </c>
      <c r="G11" s="20">
        <v>910054</v>
      </c>
      <c r="H11" s="84">
        <f t="shared" si="0"/>
        <v>27430.419787999999</v>
      </c>
      <c r="I11" s="2">
        <v>29</v>
      </c>
      <c r="K11" s="10" t="s">
        <v>19</v>
      </c>
      <c r="L11" s="10"/>
    </row>
    <row r="12" spans="2:12" x14ac:dyDescent="0.25">
      <c r="B12" s="2">
        <v>2023</v>
      </c>
      <c r="C12" s="23">
        <v>913400</v>
      </c>
      <c r="D12" s="23"/>
      <c r="E12" s="2"/>
      <c r="F12" s="2"/>
      <c r="G12" s="23">
        <v>913400</v>
      </c>
      <c r="H12" s="46">
        <f>$L$25+$L$26*G12</f>
        <v>27989.905810413151</v>
      </c>
      <c r="I12" s="82">
        <f>$D$44+$D$45*G12+$D$46*H12</f>
        <v>28.273984723024768</v>
      </c>
      <c r="K12" t="s">
        <v>20</v>
      </c>
      <c r="L12">
        <v>0.83246644345791165</v>
      </c>
    </row>
    <row r="13" spans="2:12" x14ac:dyDescent="0.25">
      <c r="B13" s="2">
        <v>2024</v>
      </c>
      <c r="C13" s="23">
        <v>953300</v>
      </c>
      <c r="D13" s="23"/>
      <c r="E13" s="2"/>
      <c r="F13" s="2"/>
      <c r="G13" s="23">
        <v>953300</v>
      </c>
      <c r="H13" s="46">
        <f t="shared" ref="H13:H19" si="1">$L$25+$L$26*G13</f>
        <v>29329.182234180866</v>
      </c>
      <c r="I13" s="82">
        <f t="shared" ref="I13:I19" si="2">$D$44+$D$45*G13+$D$46*H13</f>
        <v>29.813162758221623</v>
      </c>
      <c r="K13" t="s">
        <v>21</v>
      </c>
      <c r="L13">
        <v>0.69300037948346438</v>
      </c>
    </row>
    <row r="14" spans="2:12" x14ac:dyDescent="0.25">
      <c r="B14" s="2">
        <v>2025</v>
      </c>
      <c r="C14" s="23">
        <v>994800</v>
      </c>
      <c r="D14" s="23"/>
      <c r="E14" s="2"/>
      <c r="F14" s="2"/>
      <c r="G14" s="23">
        <v>994800</v>
      </c>
      <c r="H14" s="46">
        <f t="shared" si="1"/>
        <v>30722.163978199922</v>
      </c>
      <c r="I14" s="82">
        <f t="shared" si="2"/>
        <v>31.414062218388779</v>
      </c>
      <c r="K14" t="s">
        <v>22</v>
      </c>
      <c r="L14">
        <v>0.61625047435433045</v>
      </c>
    </row>
    <row r="15" spans="2:12" x14ac:dyDescent="0.25">
      <c r="B15" s="2">
        <v>2026</v>
      </c>
      <c r="C15" s="23">
        <v>1036800</v>
      </c>
      <c r="D15" s="23"/>
      <c r="E15" s="2"/>
      <c r="F15" s="2"/>
      <c r="G15" s="23">
        <v>1036800</v>
      </c>
      <c r="H15" s="46">
        <f t="shared" si="1"/>
        <v>32131.92863479751</v>
      </c>
      <c r="I15" s="82">
        <f t="shared" si="2"/>
        <v>33.034249623859147</v>
      </c>
      <c r="K15" t="s">
        <v>23</v>
      </c>
      <c r="L15">
        <v>2507.4133200972224</v>
      </c>
    </row>
    <row r="16" spans="2:12" ht="15.75" thickBot="1" x14ac:dyDescent="0.3">
      <c r="B16" s="2">
        <v>2027</v>
      </c>
      <c r="C16" s="23">
        <v>1081300</v>
      </c>
      <c r="D16" s="23"/>
      <c r="E16" s="2"/>
      <c r="F16" s="2"/>
      <c r="G16" s="23">
        <v>1081300</v>
      </c>
      <c r="H16" s="46">
        <f t="shared" si="1"/>
        <v>33625.607854287824</v>
      </c>
      <c r="I16" s="82">
        <f t="shared" si="2"/>
        <v>34.75087675584561</v>
      </c>
      <c r="K16" s="8" t="s">
        <v>24</v>
      </c>
      <c r="L16" s="8">
        <v>6</v>
      </c>
    </row>
    <row r="17" spans="2:19" x14ac:dyDescent="0.25">
      <c r="B17" s="2">
        <v>2028</v>
      </c>
      <c r="C17" s="23">
        <v>1125400</v>
      </c>
      <c r="D17" s="23"/>
      <c r="E17" s="2"/>
      <c r="F17" s="2"/>
      <c r="G17" s="23">
        <v>1125400</v>
      </c>
      <c r="H17" s="46">
        <f t="shared" si="1"/>
        <v>35105.860743715297</v>
      </c>
      <c r="I17" s="82">
        <f t="shared" si="2"/>
        <v>36.452073531589505</v>
      </c>
    </row>
    <row r="18" spans="2:19" ht="15.75" thickBot="1" x14ac:dyDescent="0.3">
      <c r="B18" s="2">
        <v>2029</v>
      </c>
      <c r="C18" s="23">
        <v>1170600</v>
      </c>
      <c r="D18" s="23"/>
      <c r="E18" s="2"/>
      <c r="F18" s="2"/>
      <c r="G18" s="23">
        <v>1170600</v>
      </c>
      <c r="H18" s="46">
        <f t="shared" si="1"/>
        <v>36623.036040815568</v>
      </c>
      <c r="I18" s="82">
        <f t="shared" si="2"/>
        <v>38.195703787000475</v>
      </c>
      <c r="K18" t="s">
        <v>25</v>
      </c>
    </row>
    <row r="19" spans="2:19" x14ac:dyDescent="0.25">
      <c r="B19" s="2">
        <v>2030</v>
      </c>
      <c r="C19" s="23">
        <v>1216200</v>
      </c>
      <c r="D19" s="23"/>
      <c r="E19" s="2"/>
      <c r="F19" s="2"/>
      <c r="G19" s="23">
        <v>1216200</v>
      </c>
      <c r="H19" s="46">
        <f t="shared" si="1"/>
        <v>38153.637667978663</v>
      </c>
      <c r="I19" s="82">
        <f t="shared" si="2"/>
        <v>39.954764398654021</v>
      </c>
      <c r="K19" s="9"/>
      <c r="L19" s="9" t="s">
        <v>30</v>
      </c>
      <c r="M19" s="9" t="s">
        <v>31</v>
      </c>
      <c r="N19" s="9" t="s">
        <v>32</v>
      </c>
      <c r="O19" s="9" t="s">
        <v>33</v>
      </c>
      <c r="P19" s="9" t="s">
        <v>34</v>
      </c>
    </row>
    <row r="20" spans="2:19" x14ac:dyDescent="0.25">
      <c r="K20" t="s">
        <v>26</v>
      </c>
      <c r="L20">
        <v>1</v>
      </c>
      <c r="M20">
        <v>56768508.287847474</v>
      </c>
      <c r="N20">
        <v>56768508.287847474</v>
      </c>
      <c r="O20">
        <v>9.0293320665018602</v>
      </c>
      <c r="P20">
        <v>3.9750115424923918E-2</v>
      </c>
    </row>
    <row r="21" spans="2:19" x14ac:dyDescent="0.25">
      <c r="K21" t="s">
        <v>27</v>
      </c>
      <c r="L21">
        <v>4</v>
      </c>
      <c r="M21">
        <v>25148486.231203899</v>
      </c>
      <c r="N21">
        <v>6287121.5578009747</v>
      </c>
    </row>
    <row r="22" spans="2:19" ht="15.75" thickBot="1" x14ac:dyDescent="0.3">
      <c r="B22" t="s">
        <v>15</v>
      </c>
      <c r="K22" s="8" t="s">
        <v>28</v>
      </c>
      <c r="L22" s="8">
        <v>5</v>
      </c>
      <c r="M22" s="8">
        <v>81916994.519051373</v>
      </c>
      <c r="N22" s="8"/>
      <c r="O22" s="8"/>
      <c r="P22" s="8"/>
    </row>
    <row r="23" spans="2:19" ht="15.75" thickBot="1" x14ac:dyDescent="0.3"/>
    <row r="24" spans="2:19" x14ac:dyDescent="0.25">
      <c r="K24" s="9"/>
      <c r="L24" s="9" t="s">
        <v>35</v>
      </c>
      <c r="M24" s="9" t="s">
        <v>23</v>
      </c>
      <c r="N24" s="9" t="s">
        <v>36</v>
      </c>
      <c r="O24" s="9" t="s">
        <v>37</v>
      </c>
      <c r="P24" s="9" t="s">
        <v>38</v>
      </c>
      <c r="Q24" s="9" t="s">
        <v>39</v>
      </c>
      <c r="R24" s="9" t="s">
        <v>40</v>
      </c>
      <c r="S24" s="9" t="s">
        <v>41</v>
      </c>
    </row>
    <row r="25" spans="2:19" x14ac:dyDescent="0.25">
      <c r="K25" t="s">
        <v>29</v>
      </c>
      <c r="L25">
        <v>-2669.1188880688242</v>
      </c>
      <c r="M25">
        <v>8256.9560430534784</v>
      </c>
      <c r="N25">
        <v>-0.32325700586892864</v>
      </c>
      <c r="O25">
        <v>0.7626943470216544</v>
      </c>
      <c r="P25">
        <v>-25594.104077637996</v>
      </c>
      <c r="Q25">
        <v>20255.866301500348</v>
      </c>
      <c r="R25">
        <v>-25594.104077637996</v>
      </c>
      <c r="S25">
        <v>20255.866301500348</v>
      </c>
    </row>
    <row r="26" spans="2:19" ht="15.75" thickBot="1" x14ac:dyDescent="0.3">
      <c r="K26" s="8" t="s">
        <v>42</v>
      </c>
      <c r="L26" s="8">
        <v>3.3565825157085588E-2</v>
      </c>
      <c r="M26" s="8">
        <v>1.1170420331118574E-2</v>
      </c>
      <c r="N26" s="8">
        <v>3.0048847010329469</v>
      </c>
      <c r="O26" s="8">
        <v>3.9750115424923897E-2</v>
      </c>
      <c r="P26" s="8">
        <v>2.5517663057495095E-3</v>
      </c>
      <c r="Q26" s="8">
        <v>6.457988400842167E-2</v>
      </c>
      <c r="R26" s="8">
        <v>2.5517663057495095E-3</v>
      </c>
      <c r="S26" s="8">
        <v>6.457988400842167E-2</v>
      </c>
    </row>
    <row r="27" spans="2:19" x14ac:dyDescent="0.25">
      <c r="F27" s="10"/>
    </row>
    <row r="28" spans="2:19" x14ac:dyDescent="0.25">
      <c r="C28" t="s">
        <v>18</v>
      </c>
    </row>
    <row r="29" spans="2:19" ht="15.75" thickBot="1" x14ac:dyDescent="0.3"/>
    <row r="30" spans="2:19" x14ac:dyDescent="0.25">
      <c r="C30" s="10" t="s">
        <v>19</v>
      </c>
      <c r="D30" s="10"/>
    </row>
    <row r="31" spans="2:19" x14ac:dyDescent="0.25">
      <c r="C31" t="s">
        <v>20</v>
      </c>
      <c r="D31">
        <v>0.94298074732469772</v>
      </c>
    </row>
    <row r="32" spans="2:19" x14ac:dyDescent="0.25">
      <c r="C32" t="s">
        <v>21</v>
      </c>
      <c r="D32">
        <v>0.88921268982504531</v>
      </c>
    </row>
    <row r="33" spans="3:12" x14ac:dyDescent="0.25">
      <c r="C33" t="s">
        <v>22</v>
      </c>
      <c r="D33">
        <v>0.81535448304174218</v>
      </c>
    </row>
    <row r="34" spans="3:12" x14ac:dyDescent="0.25">
      <c r="C34" t="s">
        <v>23</v>
      </c>
      <c r="D34">
        <v>1.8763194086661918</v>
      </c>
    </row>
    <row r="35" spans="3:12" ht="15.75" thickBot="1" x14ac:dyDescent="0.3">
      <c r="C35" s="8" t="s">
        <v>24</v>
      </c>
      <c r="D35" s="8">
        <v>6</v>
      </c>
    </row>
    <row r="37" spans="3:12" ht="15.75" thickBot="1" x14ac:dyDescent="0.3">
      <c r="C37" t="s">
        <v>25</v>
      </c>
    </row>
    <row r="38" spans="3:12" x14ac:dyDescent="0.25">
      <c r="C38" s="9"/>
      <c r="D38" s="9" t="s">
        <v>30</v>
      </c>
      <c r="E38" s="9" t="s">
        <v>31</v>
      </c>
      <c r="F38" s="9" t="s">
        <v>32</v>
      </c>
      <c r="G38" s="9" t="s">
        <v>33</v>
      </c>
      <c r="H38" s="9" t="s">
        <v>34</v>
      </c>
    </row>
    <row r="39" spans="3:12" ht="15.75" thickBot="1" x14ac:dyDescent="0.3">
      <c r="C39" t="s">
        <v>26</v>
      </c>
      <c r="D39">
        <v>2</v>
      </c>
      <c r="E39">
        <v>84.771609763320996</v>
      </c>
      <c r="F39">
        <v>42.385804881660498</v>
      </c>
      <c r="G39">
        <v>12.039456799079327</v>
      </c>
      <c r="H39">
        <v>3.6875254579238452E-2</v>
      </c>
    </row>
    <row r="40" spans="3:12" x14ac:dyDescent="0.25">
      <c r="C40" t="s">
        <v>27</v>
      </c>
      <c r="D40">
        <v>3</v>
      </c>
      <c r="E40">
        <v>10.561723570012344</v>
      </c>
      <c r="F40">
        <v>3.5205745233374479</v>
      </c>
      <c r="L40" s="9"/>
    </row>
    <row r="41" spans="3:12" ht="15.75" thickBot="1" x14ac:dyDescent="0.3">
      <c r="C41" s="8" t="s">
        <v>28</v>
      </c>
      <c r="D41" s="8">
        <v>5</v>
      </c>
      <c r="E41" s="8">
        <v>95.333333333333343</v>
      </c>
      <c r="F41" s="8"/>
      <c r="G41" s="8"/>
      <c r="H41" s="8"/>
    </row>
    <row r="42" spans="3:12" ht="15.75" thickBot="1" x14ac:dyDescent="0.3"/>
    <row r="43" spans="3:12" ht="15.75" thickBot="1" x14ac:dyDescent="0.3">
      <c r="C43" s="9"/>
      <c r="D43" s="9" t="s">
        <v>35</v>
      </c>
      <c r="E43" s="9" t="s">
        <v>23</v>
      </c>
      <c r="F43" s="9" t="s">
        <v>36</v>
      </c>
      <c r="G43" s="9" t="s">
        <v>37</v>
      </c>
      <c r="H43" s="9" t="s">
        <v>38</v>
      </c>
      <c r="I43" s="9" t="s">
        <v>39</v>
      </c>
      <c r="J43" s="9" t="s">
        <v>40</v>
      </c>
      <c r="K43" s="9" t="s">
        <v>41</v>
      </c>
      <c r="L43" s="8"/>
    </row>
    <row r="44" spans="3:12" x14ac:dyDescent="0.25">
      <c r="C44" t="s">
        <v>29</v>
      </c>
      <c r="D44">
        <v>-5.2957451262167599</v>
      </c>
      <c r="E44">
        <v>6.2589385769692321</v>
      </c>
      <c r="F44">
        <v>-0.84610913832950896</v>
      </c>
      <c r="G44">
        <v>0.45964112708534005</v>
      </c>
      <c r="H44">
        <v>-25.21448107549017</v>
      </c>
      <c r="I44">
        <v>14.622990823056648</v>
      </c>
      <c r="J44">
        <v>-25.21448107549017</v>
      </c>
      <c r="K44">
        <v>14.622990823056648</v>
      </c>
    </row>
    <row r="45" spans="3:12" x14ac:dyDescent="0.25">
      <c r="C45" t="s">
        <v>42</v>
      </c>
      <c r="D45">
        <v>1.7631338294302135E-5</v>
      </c>
      <c r="E45">
        <v>1.5086254799031742E-5</v>
      </c>
      <c r="F45">
        <v>1.1687021417292873</v>
      </c>
      <c r="G45">
        <v>0.32694492671676312</v>
      </c>
      <c r="H45">
        <v>-3.0379857551445055E-5</v>
      </c>
      <c r="I45">
        <v>6.5642534140049322E-5</v>
      </c>
      <c r="J45">
        <v>-3.0379857551445055E-5</v>
      </c>
      <c r="K45">
        <v>6.5642534140049322E-5</v>
      </c>
    </row>
    <row r="46" spans="3:12" ht="15.75" thickBot="1" x14ac:dyDescent="0.3">
      <c r="C46" s="8" t="s">
        <v>43</v>
      </c>
      <c r="D46" s="8">
        <v>6.2398443101328025E-4</v>
      </c>
      <c r="E46" s="8">
        <v>3.7415439122606231E-4</v>
      </c>
      <c r="F46" s="8">
        <v>1.6677191171498822</v>
      </c>
      <c r="G46" s="8">
        <v>0.19396289252433677</v>
      </c>
      <c r="H46" s="8">
        <v>-5.6674182894977715E-4</v>
      </c>
      <c r="I46" s="8">
        <v>1.8147106909763375E-3</v>
      </c>
      <c r="J46" s="8">
        <v>-5.6674182894977715E-4</v>
      </c>
      <c r="K46" s="8">
        <v>1.8147106909763375E-3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1"/>
  <sheetViews>
    <sheetView workbookViewId="0">
      <selection activeCell="I15" sqref="I15"/>
    </sheetView>
  </sheetViews>
  <sheetFormatPr defaultRowHeight="15" x14ac:dyDescent="0.25"/>
  <cols>
    <col min="3" max="3" width="24.42578125" customWidth="1"/>
    <col min="4" max="4" width="26.140625" customWidth="1"/>
    <col min="5" max="5" width="14.7109375" customWidth="1"/>
    <col min="6" max="6" width="9.140625" customWidth="1"/>
    <col min="7" max="7" width="21.5703125" customWidth="1"/>
    <col min="8" max="8" width="15.5703125" customWidth="1"/>
  </cols>
  <sheetData>
    <row r="1" spans="2:17" x14ac:dyDescent="0.25">
      <c r="E1" s="59" t="s">
        <v>46</v>
      </c>
    </row>
    <row r="2" spans="2:17" x14ac:dyDescent="0.25">
      <c r="F2" s="12"/>
      <c r="G2" s="12"/>
      <c r="H2" s="12"/>
      <c r="I2" s="15"/>
    </row>
    <row r="3" spans="2:17" ht="60" x14ac:dyDescent="0.25">
      <c r="B3" s="2" t="s">
        <v>0</v>
      </c>
      <c r="C3" s="2" t="s">
        <v>47</v>
      </c>
      <c r="D3" s="16" t="s">
        <v>2</v>
      </c>
      <c r="E3" s="17" t="s">
        <v>16</v>
      </c>
      <c r="F3" s="15" t="s">
        <v>17</v>
      </c>
      <c r="G3" s="2" t="s">
        <v>47</v>
      </c>
      <c r="H3" s="28" t="s">
        <v>44</v>
      </c>
      <c r="I3" s="2" t="s">
        <v>45</v>
      </c>
    </row>
    <row r="4" spans="2:17" ht="15.75" x14ac:dyDescent="0.25">
      <c r="B4" s="2">
        <v>2015</v>
      </c>
      <c r="C4" s="26">
        <v>872584</v>
      </c>
      <c r="D4" s="51">
        <v>3013.0325520000001</v>
      </c>
      <c r="E4" s="45">
        <v>1308</v>
      </c>
      <c r="F4" s="16">
        <v>1.9</v>
      </c>
      <c r="G4" s="26">
        <v>872584</v>
      </c>
      <c r="H4" s="84">
        <f>(D4+E4)+(G4*0.019)</f>
        <v>20900.128552000002</v>
      </c>
      <c r="I4" s="2">
        <v>12</v>
      </c>
    </row>
    <row r="5" spans="2:17" ht="15.75" x14ac:dyDescent="0.25">
      <c r="B5" s="2">
        <v>2016</v>
      </c>
      <c r="C5" s="4">
        <v>972692</v>
      </c>
      <c r="D5" s="51">
        <v>3599.9330920000002</v>
      </c>
      <c r="E5" s="45">
        <v>6836</v>
      </c>
      <c r="F5" s="16">
        <v>1.9</v>
      </c>
      <c r="G5" s="4">
        <v>972692</v>
      </c>
      <c r="H5" s="84">
        <f t="shared" ref="H5:H9" si="0">(D5+E5)+(G5*0.019)</f>
        <v>28917.081092</v>
      </c>
      <c r="I5" s="2">
        <v>12</v>
      </c>
      <c r="L5" t="s">
        <v>18</v>
      </c>
    </row>
    <row r="6" spans="2:17" ht="16.5" thickBot="1" x14ac:dyDescent="0.3">
      <c r="B6" s="2">
        <v>2017</v>
      </c>
      <c r="C6" s="4">
        <v>1030577</v>
      </c>
      <c r="D6" s="51">
        <v>9009.304134</v>
      </c>
      <c r="E6" s="45">
        <v>1687</v>
      </c>
      <c r="F6" s="16">
        <v>1.9</v>
      </c>
      <c r="G6" s="4">
        <v>1030577</v>
      </c>
      <c r="H6" s="84">
        <f t="shared" si="0"/>
        <v>30277.267134000002</v>
      </c>
      <c r="I6" s="2">
        <v>15</v>
      </c>
    </row>
    <row r="7" spans="2:17" ht="15.75" x14ac:dyDescent="0.25">
      <c r="B7" s="2">
        <v>2018</v>
      </c>
      <c r="C7" s="47">
        <v>1078384</v>
      </c>
      <c r="D7" s="51">
        <v>11213.036832</v>
      </c>
      <c r="E7" s="45">
        <v>1283</v>
      </c>
      <c r="F7" s="16">
        <v>1.9</v>
      </c>
      <c r="G7" s="47">
        <v>1078384</v>
      </c>
      <c r="H7" s="84">
        <f t="shared" si="0"/>
        <v>32985.332832</v>
      </c>
      <c r="I7" s="2">
        <v>15</v>
      </c>
      <c r="L7" s="10" t="s">
        <v>19</v>
      </c>
      <c r="M7" s="10"/>
    </row>
    <row r="8" spans="2:17" ht="17.25" customHeight="1" x14ac:dyDescent="0.25">
      <c r="B8" s="2">
        <v>2019</v>
      </c>
      <c r="C8" s="13">
        <v>1136156</v>
      </c>
      <c r="D8" s="51">
        <v>11835.337052000001</v>
      </c>
      <c r="E8" s="45">
        <v>1140</v>
      </c>
      <c r="F8" s="16">
        <v>1.9</v>
      </c>
      <c r="G8" s="13">
        <v>1136156</v>
      </c>
      <c r="H8" s="84">
        <f t="shared" si="0"/>
        <v>34562.301052000003</v>
      </c>
      <c r="I8" s="2">
        <v>20</v>
      </c>
      <c r="L8" t="s">
        <v>20</v>
      </c>
      <c r="M8">
        <v>0.88937813139274158</v>
      </c>
    </row>
    <row r="9" spans="2:17" ht="15.75" x14ac:dyDescent="0.25">
      <c r="B9" s="2">
        <v>2022</v>
      </c>
      <c r="C9" s="14">
        <v>1354556</v>
      </c>
      <c r="D9" s="51">
        <v>8998.3155079999997</v>
      </c>
      <c r="E9" s="45">
        <v>1756</v>
      </c>
      <c r="F9" s="16">
        <v>1.9</v>
      </c>
      <c r="G9" s="14">
        <v>1354556</v>
      </c>
      <c r="H9" s="84">
        <f t="shared" si="0"/>
        <v>36490.879507999998</v>
      </c>
      <c r="I9" s="2">
        <v>20</v>
      </c>
      <c r="L9" t="s">
        <v>21</v>
      </c>
      <c r="M9">
        <v>0.7909934605996447</v>
      </c>
    </row>
    <row r="10" spans="2:17" x14ac:dyDescent="0.25">
      <c r="B10" s="2">
        <v>2023</v>
      </c>
      <c r="C10" s="12">
        <v>1379000</v>
      </c>
      <c r="D10" s="2"/>
      <c r="E10" s="2"/>
      <c r="F10" s="2"/>
      <c r="G10" s="12">
        <v>1379000</v>
      </c>
      <c r="H10" s="46">
        <f>$M$21+$M$22*G10</f>
        <v>39807.616277485751</v>
      </c>
      <c r="I10" s="82">
        <f>$E$39+$E$40*G10+$E$41*H10</f>
        <v>21.571718614480865</v>
      </c>
      <c r="L10" t="s">
        <v>22</v>
      </c>
      <c r="M10">
        <v>0.73874182574955594</v>
      </c>
    </row>
    <row r="11" spans="2:17" x14ac:dyDescent="0.25">
      <c r="B11" s="2">
        <v>2024</v>
      </c>
      <c r="C11" s="12">
        <v>1434000</v>
      </c>
      <c r="D11" s="2"/>
      <c r="E11" s="2"/>
      <c r="F11" s="2"/>
      <c r="G11" s="12">
        <v>1434000</v>
      </c>
      <c r="H11" s="46">
        <f t="shared" ref="H11:H17" si="1">$M$21+$M$22*G11</f>
        <v>41452.84044686117</v>
      </c>
      <c r="I11" s="82">
        <f t="shared" ref="I11:I17" si="2">$E$39+$E$40*G11+$E$41*H11</f>
        <v>22.637116540934898</v>
      </c>
      <c r="L11" t="s">
        <v>23</v>
      </c>
      <c r="M11">
        <v>2828.0888376160401</v>
      </c>
    </row>
    <row r="12" spans="2:17" ht="15.75" thickBot="1" x14ac:dyDescent="0.3">
      <c r="B12" s="2">
        <v>2025</v>
      </c>
      <c r="C12" s="12">
        <v>1490000</v>
      </c>
      <c r="D12" s="2"/>
      <c r="E12" s="2"/>
      <c r="F12" s="2"/>
      <c r="G12" s="12">
        <v>1490000</v>
      </c>
      <c r="H12" s="46">
        <f t="shared" si="1"/>
        <v>43127.977782952526</v>
      </c>
      <c r="I12" s="82">
        <f t="shared" si="2"/>
        <v>23.721885338779011</v>
      </c>
      <c r="L12" s="8" t="s">
        <v>24</v>
      </c>
      <c r="M12" s="8">
        <v>6</v>
      </c>
    </row>
    <row r="13" spans="2:17" x14ac:dyDescent="0.25">
      <c r="B13" s="2">
        <v>2026</v>
      </c>
      <c r="C13" s="12">
        <v>1545000</v>
      </c>
      <c r="D13" s="2"/>
      <c r="E13" s="2"/>
      <c r="F13" s="2"/>
      <c r="G13" s="12">
        <v>1545000</v>
      </c>
      <c r="H13" s="46">
        <f t="shared" si="1"/>
        <v>44773.201952327945</v>
      </c>
      <c r="I13" s="82">
        <f t="shared" si="2"/>
        <v>24.78728326523305</v>
      </c>
    </row>
    <row r="14" spans="2:17" ht="15.75" thickBot="1" x14ac:dyDescent="0.3">
      <c r="B14" s="2">
        <v>2027</v>
      </c>
      <c r="C14" s="12">
        <v>1601000</v>
      </c>
      <c r="D14" s="2"/>
      <c r="E14" s="2"/>
      <c r="F14" s="2"/>
      <c r="G14" s="12">
        <v>1601000</v>
      </c>
      <c r="H14" s="46">
        <f t="shared" si="1"/>
        <v>46448.339288419302</v>
      </c>
      <c r="I14" s="82">
        <f t="shared" si="2"/>
        <v>25.872052063077163</v>
      </c>
      <c r="L14" t="s">
        <v>25</v>
      </c>
    </row>
    <row r="15" spans="2:17" x14ac:dyDescent="0.25">
      <c r="B15" s="2">
        <v>2028</v>
      </c>
      <c r="C15" s="12">
        <v>1656000</v>
      </c>
      <c r="D15" s="2"/>
      <c r="E15" s="2"/>
      <c r="F15" s="2"/>
      <c r="G15" s="12">
        <v>1656000</v>
      </c>
      <c r="H15" s="46">
        <f t="shared" si="1"/>
        <v>48093.56345779472</v>
      </c>
      <c r="I15" s="82">
        <f t="shared" si="2"/>
        <v>26.937449989531199</v>
      </c>
      <c r="L15" s="9"/>
      <c r="M15" s="9" t="s">
        <v>30</v>
      </c>
      <c r="N15" s="9" t="s">
        <v>31</v>
      </c>
      <c r="O15" s="9" t="s">
        <v>32</v>
      </c>
      <c r="P15" s="9" t="s">
        <v>33</v>
      </c>
      <c r="Q15" s="9" t="s">
        <v>34</v>
      </c>
    </row>
    <row r="16" spans="2:17" x14ac:dyDescent="0.25">
      <c r="B16" s="2">
        <v>2029</v>
      </c>
      <c r="C16" s="12">
        <v>1712000</v>
      </c>
      <c r="D16" s="2"/>
      <c r="E16" s="2"/>
      <c r="F16" s="2"/>
      <c r="G16" s="12">
        <v>1712000</v>
      </c>
      <c r="H16" s="46">
        <f t="shared" si="1"/>
        <v>49768.700793886062</v>
      </c>
      <c r="I16" s="82">
        <f t="shared" si="2"/>
        <v>28.022218787375312</v>
      </c>
      <c r="L16" t="s">
        <v>26</v>
      </c>
      <c r="M16">
        <v>1</v>
      </c>
      <c r="N16">
        <v>121076290.07128459</v>
      </c>
      <c r="O16">
        <v>121076290.07128459</v>
      </c>
      <c r="P16">
        <v>15.138157167120685</v>
      </c>
      <c r="Q16">
        <v>1.7678945876882696E-2</v>
      </c>
    </row>
    <row r="17" spans="2:20" x14ac:dyDescent="0.25">
      <c r="B17" s="2">
        <v>2030</v>
      </c>
      <c r="C17" s="12">
        <v>1768000</v>
      </c>
      <c r="D17" s="2"/>
      <c r="E17" s="2"/>
      <c r="F17" s="2"/>
      <c r="G17" s="12">
        <v>1768000</v>
      </c>
      <c r="H17" s="46">
        <f t="shared" si="1"/>
        <v>51443.838129977419</v>
      </c>
      <c r="I17" s="82">
        <f t="shared" si="2"/>
        <v>29.106987585219425</v>
      </c>
      <c r="L17" t="s">
        <v>27</v>
      </c>
      <c r="M17">
        <v>4</v>
      </c>
      <c r="N17">
        <v>31992345.893793784</v>
      </c>
      <c r="O17">
        <v>7998086.473448446</v>
      </c>
    </row>
    <row r="18" spans="2:20" ht="15.75" thickBot="1" x14ac:dyDescent="0.3">
      <c r="L18" s="8" t="s">
        <v>28</v>
      </c>
      <c r="M18" s="8">
        <v>5</v>
      </c>
      <c r="N18" s="8">
        <v>153068635.96507838</v>
      </c>
      <c r="O18" s="8"/>
      <c r="P18" s="8"/>
      <c r="Q18" s="8"/>
    </row>
    <row r="19" spans="2:20" ht="15.75" thickBot="1" x14ac:dyDescent="0.3"/>
    <row r="20" spans="2:20" x14ac:dyDescent="0.25">
      <c r="B20" t="s">
        <v>14</v>
      </c>
      <c r="L20" s="9"/>
      <c r="M20" s="9" t="s">
        <v>35</v>
      </c>
      <c r="N20" s="9" t="s">
        <v>23</v>
      </c>
      <c r="O20" s="9" t="s">
        <v>36</v>
      </c>
      <c r="P20" s="9" t="s">
        <v>37</v>
      </c>
      <c r="Q20" s="9" t="s">
        <v>38</v>
      </c>
      <c r="R20" s="9" t="s">
        <v>39</v>
      </c>
      <c r="S20" s="9" t="s">
        <v>40</v>
      </c>
      <c r="T20" s="9" t="s">
        <v>41</v>
      </c>
    </row>
    <row r="21" spans="2:20" x14ac:dyDescent="0.25">
      <c r="L21" t="s">
        <v>29</v>
      </c>
      <c r="M21">
        <v>-1442.6406237636293</v>
      </c>
      <c r="N21">
        <v>8338.6822573830705</v>
      </c>
      <c r="O21">
        <v>-0.17300582744789383</v>
      </c>
      <c r="P21">
        <v>0.87104842300221497</v>
      </c>
      <c r="Q21">
        <v>-24594.534161074542</v>
      </c>
      <c r="R21">
        <v>21709.252913547283</v>
      </c>
      <c r="S21">
        <v>-24594.534161074542</v>
      </c>
      <c r="T21">
        <v>21709.252913547283</v>
      </c>
    </row>
    <row r="22" spans="2:20" ht="15.75" thickBot="1" x14ac:dyDescent="0.3">
      <c r="L22" s="8" t="s">
        <v>42</v>
      </c>
      <c r="M22" s="8">
        <v>2.9913166715916879E-2</v>
      </c>
      <c r="N22" s="8">
        <v>7.6882214916197547E-3</v>
      </c>
      <c r="O22" s="8">
        <v>3.8907784782894921</v>
      </c>
      <c r="P22" s="8">
        <v>1.7678945876882679E-2</v>
      </c>
      <c r="Q22" s="8">
        <v>8.5672417878327328E-3</v>
      </c>
      <c r="R22" s="8">
        <v>5.1259091644001026E-2</v>
      </c>
      <c r="S22" s="8">
        <v>8.5672417878327328E-3</v>
      </c>
      <c r="T22" s="8">
        <v>5.1259091644001026E-2</v>
      </c>
    </row>
    <row r="23" spans="2:20" x14ac:dyDescent="0.25">
      <c r="D23" t="s">
        <v>18</v>
      </c>
    </row>
    <row r="24" spans="2:20" ht="15.75" thickBot="1" x14ac:dyDescent="0.3"/>
    <row r="25" spans="2:20" x14ac:dyDescent="0.25">
      <c r="D25" s="10" t="s">
        <v>19</v>
      </c>
      <c r="E25" s="10"/>
    </row>
    <row r="26" spans="2:20" x14ac:dyDescent="0.25">
      <c r="D26" t="s">
        <v>20</v>
      </c>
      <c r="E26">
        <v>0.88741093097756785</v>
      </c>
    </row>
    <row r="27" spans="2:20" x14ac:dyDescent="0.25">
      <c r="D27" t="s">
        <v>21</v>
      </c>
      <c r="E27">
        <v>0.78749816041847376</v>
      </c>
    </row>
    <row r="28" spans="2:20" x14ac:dyDescent="0.25">
      <c r="D28" t="s">
        <v>22</v>
      </c>
      <c r="E28">
        <v>0.64583026736412297</v>
      </c>
    </row>
    <row r="29" spans="2:20" x14ac:dyDescent="0.25">
      <c r="D29" t="s">
        <v>23</v>
      </c>
      <c r="E29">
        <v>2.151236351444318</v>
      </c>
    </row>
    <row r="30" spans="2:20" ht="15.75" thickBot="1" x14ac:dyDescent="0.3">
      <c r="D30" s="8" t="s">
        <v>24</v>
      </c>
      <c r="E30" s="8">
        <v>6</v>
      </c>
    </row>
    <row r="32" spans="2:20" ht="15.75" thickBot="1" x14ac:dyDescent="0.3">
      <c r="D32" t="s">
        <v>25</v>
      </c>
    </row>
    <row r="33" spans="4:12" x14ac:dyDescent="0.25">
      <c r="D33" s="9"/>
      <c r="E33" s="9" t="s">
        <v>30</v>
      </c>
      <c r="F33" s="9" t="s">
        <v>31</v>
      </c>
      <c r="G33" s="9" t="s">
        <v>32</v>
      </c>
      <c r="H33" s="9" t="s">
        <v>33</v>
      </c>
      <c r="I33" s="9" t="s">
        <v>34</v>
      </c>
    </row>
    <row r="34" spans="4:12" x14ac:dyDescent="0.25">
      <c r="D34" t="s">
        <v>26</v>
      </c>
      <c r="E34">
        <v>2</v>
      </c>
      <c r="F34">
        <v>51.449879814006948</v>
      </c>
      <c r="G34">
        <v>25.724939907003474</v>
      </c>
      <c r="H34">
        <v>5.5587624227343468</v>
      </c>
      <c r="I34">
        <v>9.7958931869264673E-2</v>
      </c>
    </row>
    <row r="35" spans="4:12" x14ac:dyDescent="0.25">
      <c r="D35" t="s">
        <v>27</v>
      </c>
      <c r="E35">
        <v>3</v>
      </c>
      <c r="F35">
        <v>13.883453519326384</v>
      </c>
      <c r="G35">
        <v>4.627817839775461</v>
      </c>
    </row>
    <row r="36" spans="4:12" ht="15.75" thickBot="1" x14ac:dyDescent="0.3">
      <c r="D36" s="8" t="s">
        <v>28</v>
      </c>
      <c r="E36" s="8">
        <v>5</v>
      </c>
      <c r="F36" s="8">
        <v>65.333333333333329</v>
      </c>
      <c r="G36" s="8"/>
      <c r="H36" s="8"/>
      <c r="I36" s="8"/>
    </row>
    <row r="37" spans="4:12" ht="15.75" thickBot="1" x14ac:dyDescent="0.3"/>
    <row r="38" spans="4:12" x14ac:dyDescent="0.25">
      <c r="D38" s="9"/>
      <c r="E38" s="9" t="s">
        <v>35</v>
      </c>
      <c r="F38" s="9" t="s">
        <v>23</v>
      </c>
      <c r="G38" s="9" t="s">
        <v>36</v>
      </c>
      <c r="H38" s="9" t="s">
        <v>37</v>
      </c>
      <c r="I38" s="9" t="s">
        <v>38</v>
      </c>
      <c r="J38" s="9" t="s">
        <v>39</v>
      </c>
      <c r="K38" s="9" t="s">
        <v>40</v>
      </c>
      <c r="L38" s="9" t="s">
        <v>41</v>
      </c>
    </row>
    <row r="39" spans="4:12" x14ac:dyDescent="0.25">
      <c r="D39" t="s">
        <v>29</v>
      </c>
      <c r="E39">
        <v>-4.9308683708333474</v>
      </c>
      <c r="F39">
        <v>6.366654992059563</v>
      </c>
      <c r="G39">
        <v>-0.77448336323910805</v>
      </c>
      <c r="H39">
        <v>0.49508319042921345</v>
      </c>
      <c r="I39">
        <v>-25.192406027329387</v>
      </c>
      <c r="J39">
        <v>15.33066928566269</v>
      </c>
      <c r="K39">
        <v>-25.192406027329387</v>
      </c>
      <c r="L39">
        <v>15.33066928566269</v>
      </c>
    </row>
    <row r="40" spans="4:12" x14ac:dyDescent="0.25">
      <c r="D40" t="s">
        <v>42</v>
      </c>
      <c r="E40">
        <v>1.5019740385304292E-5</v>
      </c>
      <c r="F40">
        <v>1.2792075958380604E-5</v>
      </c>
      <c r="G40">
        <v>1.1741440899953581</v>
      </c>
      <c r="H40">
        <v>0.32506153601311122</v>
      </c>
      <c r="I40">
        <v>-2.5690354485352625E-5</v>
      </c>
      <c r="J40">
        <v>5.5729835255961212E-5</v>
      </c>
      <c r="K40">
        <v>-2.5690354485352625E-5</v>
      </c>
      <c r="L40">
        <v>5.5729835255961212E-5</v>
      </c>
    </row>
    <row r="41" spans="4:12" ht="15.75" thickBot="1" x14ac:dyDescent="0.3">
      <c r="D41" s="8" t="s">
        <v>43</v>
      </c>
      <c r="E41" s="8">
        <v>1.4545872211028335E-4</v>
      </c>
      <c r="F41" s="8">
        <v>3.8033394192413695E-4</v>
      </c>
      <c r="G41" s="8">
        <v>0.38245001583186911</v>
      </c>
      <c r="H41" s="8">
        <v>0.72761400377002561</v>
      </c>
      <c r="I41" s="8">
        <v>-1.064933626140175E-3</v>
      </c>
      <c r="J41" s="8">
        <v>1.3558510703607419E-3</v>
      </c>
      <c r="K41" s="8">
        <v>-1.064933626140175E-3</v>
      </c>
      <c r="L41" s="8">
        <v>1.3558510703607419E-3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1"/>
  <sheetViews>
    <sheetView workbookViewId="0">
      <selection activeCell="I12" sqref="I12"/>
    </sheetView>
  </sheetViews>
  <sheetFormatPr defaultRowHeight="15" x14ac:dyDescent="0.25"/>
  <cols>
    <col min="3" max="3" width="24.42578125" customWidth="1"/>
    <col min="4" max="4" width="26.140625" customWidth="1"/>
    <col min="5" max="5" width="15.5703125" customWidth="1"/>
    <col min="6" max="6" width="9.140625" customWidth="1"/>
    <col min="7" max="7" width="10.85546875" customWidth="1"/>
    <col min="8" max="8" width="15.5703125" customWidth="1"/>
  </cols>
  <sheetData>
    <row r="1" spans="2:19" x14ac:dyDescent="0.25">
      <c r="E1" s="59" t="s">
        <v>46</v>
      </c>
    </row>
    <row r="2" spans="2:19" x14ac:dyDescent="0.25">
      <c r="F2" s="220"/>
      <c r="G2" s="220"/>
      <c r="H2" s="220"/>
      <c r="I2" s="221"/>
    </row>
    <row r="3" spans="2:19" ht="60" x14ac:dyDescent="0.25">
      <c r="B3" s="19" t="s">
        <v>0</v>
      </c>
      <c r="C3" s="19" t="s">
        <v>47</v>
      </c>
      <c r="D3" s="19" t="s">
        <v>2</v>
      </c>
      <c r="E3" s="19" t="s">
        <v>16</v>
      </c>
      <c r="F3" s="19" t="s">
        <v>17</v>
      </c>
      <c r="G3" s="19" t="s">
        <v>47</v>
      </c>
      <c r="H3" s="19" t="s">
        <v>44</v>
      </c>
      <c r="I3" s="2" t="s">
        <v>45</v>
      </c>
    </row>
    <row r="4" spans="2:19" ht="15.75" x14ac:dyDescent="0.25">
      <c r="B4" s="20">
        <v>2015</v>
      </c>
      <c r="C4" s="26">
        <v>872584</v>
      </c>
      <c r="D4" s="51">
        <v>25431.46068</v>
      </c>
      <c r="E4" s="45">
        <v>38968</v>
      </c>
      <c r="F4" s="20">
        <v>1.9</v>
      </c>
      <c r="G4" s="26">
        <v>872584</v>
      </c>
      <c r="H4" s="84">
        <f>(D4+E4)+(G4*0.019)</f>
        <v>80978.556680000009</v>
      </c>
      <c r="I4" s="2">
        <v>80</v>
      </c>
    </row>
    <row r="5" spans="2:19" ht="15.75" x14ac:dyDescent="0.25">
      <c r="B5" s="20">
        <v>2016</v>
      </c>
      <c r="C5" s="4">
        <v>972692</v>
      </c>
      <c r="D5" s="51">
        <v>28171.105703999998</v>
      </c>
      <c r="E5" s="45">
        <v>33412</v>
      </c>
      <c r="F5" s="20">
        <v>1.9</v>
      </c>
      <c r="G5" s="4">
        <v>972692</v>
      </c>
      <c r="H5" s="84">
        <f t="shared" ref="H5:H9" si="0">(D5+E5)+(G5*0.019)</f>
        <v>80064.253704000002</v>
      </c>
      <c r="I5" s="2">
        <v>70</v>
      </c>
    </row>
    <row r="6" spans="2:19" ht="15.75" x14ac:dyDescent="0.25">
      <c r="B6" s="20">
        <v>2017</v>
      </c>
      <c r="C6" s="4">
        <v>1030577</v>
      </c>
      <c r="D6" s="51">
        <v>31377.977918999997</v>
      </c>
      <c r="E6" s="45">
        <v>34666</v>
      </c>
      <c r="F6" s="20">
        <v>1.9</v>
      </c>
      <c r="G6" s="4">
        <v>1030577</v>
      </c>
      <c r="H6" s="84">
        <f t="shared" si="0"/>
        <v>85624.940919000001</v>
      </c>
      <c r="I6" s="2">
        <v>81</v>
      </c>
      <c r="K6" t="s">
        <v>18</v>
      </c>
    </row>
    <row r="7" spans="2:19" ht="16.5" thickBot="1" x14ac:dyDescent="0.3">
      <c r="B7" s="20">
        <v>2018</v>
      </c>
      <c r="C7" s="47">
        <v>1078384</v>
      </c>
      <c r="D7" s="51">
        <v>32343.971312000001</v>
      </c>
      <c r="E7" s="45">
        <v>38834</v>
      </c>
      <c r="F7" s="20">
        <v>1.9</v>
      </c>
      <c r="G7" s="47">
        <v>1078384</v>
      </c>
      <c r="H7" s="84">
        <f t="shared" si="0"/>
        <v>91667.267312000011</v>
      </c>
      <c r="I7" s="2">
        <v>76</v>
      </c>
    </row>
    <row r="8" spans="2:19" s="38" customFormat="1" ht="15.75" x14ac:dyDescent="0.25">
      <c r="B8" s="36">
        <v>2019</v>
      </c>
      <c r="C8" s="89">
        <v>1136156</v>
      </c>
      <c r="D8" s="94">
        <v>36717.153451999999</v>
      </c>
      <c r="E8" s="90">
        <v>44253</v>
      </c>
      <c r="F8" s="36">
        <v>1.9</v>
      </c>
      <c r="G8" s="89">
        <v>1136156</v>
      </c>
      <c r="H8" s="84">
        <f t="shared" si="0"/>
        <v>102557.11745200001</v>
      </c>
      <c r="I8" s="91">
        <v>76</v>
      </c>
      <c r="K8" s="10" t="s">
        <v>19</v>
      </c>
      <c r="L8" s="10"/>
      <c r="M8"/>
      <c r="N8"/>
      <c r="O8"/>
      <c r="P8"/>
      <c r="Q8"/>
      <c r="R8"/>
      <c r="S8"/>
    </row>
    <row r="9" spans="2:19" ht="15.75" x14ac:dyDescent="0.25">
      <c r="B9" s="20">
        <v>2022</v>
      </c>
      <c r="C9" s="14">
        <v>1354556</v>
      </c>
      <c r="D9" s="51">
        <v>38374.571479999999</v>
      </c>
      <c r="E9" s="45">
        <v>37303</v>
      </c>
      <c r="F9" s="20">
        <v>1.9</v>
      </c>
      <c r="G9" s="14">
        <v>1354556</v>
      </c>
      <c r="H9" s="84">
        <f t="shared" si="0"/>
        <v>101414.13548</v>
      </c>
      <c r="I9" s="2">
        <v>78</v>
      </c>
      <c r="K9" t="s">
        <v>20</v>
      </c>
      <c r="L9">
        <v>0.86087261917016433</v>
      </c>
    </row>
    <row r="10" spans="2:19" x14ac:dyDescent="0.25">
      <c r="B10" s="23">
        <v>2023</v>
      </c>
      <c r="C10" s="12">
        <v>1379000</v>
      </c>
      <c r="D10" s="22"/>
      <c r="E10" s="22"/>
      <c r="G10" s="12">
        <v>1379000</v>
      </c>
      <c r="H10" s="21">
        <f>$L$22+$L$23*G10</f>
        <v>106162.18918514234</v>
      </c>
      <c r="I10" s="82">
        <f>$C$39+$C$40*G10+$C$41*H10</f>
        <v>77.160881578434058</v>
      </c>
      <c r="K10" t="s">
        <v>21</v>
      </c>
      <c r="L10">
        <v>0.74110166643689879</v>
      </c>
    </row>
    <row r="11" spans="2:19" x14ac:dyDescent="0.25">
      <c r="B11" s="23">
        <v>2024</v>
      </c>
      <c r="C11" s="12">
        <v>1434000</v>
      </c>
      <c r="D11" s="22"/>
      <c r="E11" s="22"/>
      <c r="G11" s="12">
        <v>1434000</v>
      </c>
      <c r="H11" s="21">
        <f t="shared" ref="H11:H17" si="1">$L$22+$L$23*G11</f>
        <v>109008.84436097502</v>
      </c>
      <c r="I11" s="82">
        <f t="shared" ref="I11:I17" si="2">$C$39+$C$40*G11+$C$41*H11</f>
        <v>77.219978301753002</v>
      </c>
      <c r="K11" t="s">
        <v>22</v>
      </c>
      <c r="L11">
        <v>0.67637708304612354</v>
      </c>
    </row>
    <row r="12" spans="2:19" x14ac:dyDescent="0.25">
      <c r="B12" s="23">
        <v>2025</v>
      </c>
      <c r="C12" s="12">
        <v>1490000</v>
      </c>
      <c r="D12" s="22"/>
      <c r="E12" s="22"/>
      <c r="G12" s="12">
        <v>1490000</v>
      </c>
      <c r="H12" s="21">
        <f t="shared" si="1"/>
        <v>111907.25690364104</v>
      </c>
      <c r="I12" s="82">
        <f t="shared" si="2"/>
        <v>77.280149510950466</v>
      </c>
      <c r="K12" t="s">
        <v>23</v>
      </c>
      <c r="L12">
        <v>5626.4578724723951</v>
      </c>
    </row>
    <row r="13" spans="2:19" ht="15.75" thickBot="1" x14ac:dyDescent="0.3">
      <c r="B13" s="23">
        <v>2026</v>
      </c>
      <c r="C13" s="12">
        <v>1545000</v>
      </c>
      <c r="D13" s="22"/>
      <c r="E13" s="22"/>
      <c r="G13" s="12">
        <v>1545000</v>
      </c>
      <c r="H13" s="21">
        <f t="shared" si="1"/>
        <v>114753.91207947372</v>
      </c>
      <c r="I13" s="82">
        <f t="shared" si="2"/>
        <v>77.339246234269424</v>
      </c>
      <c r="K13" s="8" t="s">
        <v>24</v>
      </c>
      <c r="L13" s="8">
        <v>6</v>
      </c>
    </row>
    <row r="14" spans="2:19" x14ac:dyDescent="0.25">
      <c r="B14" s="23">
        <v>2027</v>
      </c>
      <c r="C14" s="12">
        <v>1601000</v>
      </c>
      <c r="D14" s="22"/>
      <c r="E14" s="22"/>
      <c r="G14" s="12">
        <v>1601000</v>
      </c>
      <c r="H14" s="21">
        <f t="shared" si="1"/>
        <v>117652.32462213974</v>
      </c>
      <c r="I14" s="82">
        <f t="shared" si="2"/>
        <v>77.399417443466888</v>
      </c>
    </row>
    <row r="15" spans="2:19" ht="15.75" thickBot="1" x14ac:dyDescent="0.3">
      <c r="B15" s="23">
        <v>2028</v>
      </c>
      <c r="C15" s="12">
        <v>1656000</v>
      </c>
      <c r="D15" s="22"/>
      <c r="E15" s="22"/>
      <c r="G15" s="12">
        <v>1656000</v>
      </c>
      <c r="H15" s="21">
        <f t="shared" si="1"/>
        <v>120498.97979797245</v>
      </c>
      <c r="I15" s="82">
        <f t="shared" si="2"/>
        <v>77.458514166785847</v>
      </c>
      <c r="K15" t="s">
        <v>25</v>
      </c>
    </row>
    <row r="16" spans="2:19" x14ac:dyDescent="0.25">
      <c r="B16" s="23">
        <v>2029</v>
      </c>
      <c r="C16" s="12">
        <v>1712000</v>
      </c>
      <c r="D16" s="22"/>
      <c r="E16" s="22"/>
      <c r="G16" s="12">
        <v>1712000</v>
      </c>
      <c r="H16" s="21">
        <f t="shared" si="1"/>
        <v>123397.39234063847</v>
      </c>
      <c r="I16" s="82">
        <f t="shared" si="2"/>
        <v>77.51868537598331</v>
      </c>
      <c r="K16" s="9"/>
      <c r="L16" s="9" t="s">
        <v>30</v>
      </c>
      <c r="M16" s="9" t="s">
        <v>31</v>
      </c>
      <c r="N16" s="9" t="s">
        <v>32</v>
      </c>
      <c r="O16" s="9" t="s">
        <v>33</v>
      </c>
      <c r="P16" s="9" t="s">
        <v>34</v>
      </c>
    </row>
    <row r="17" spans="2:19" x14ac:dyDescent="0.25">
      <c r="B17" s="23">
        <v>2030</v>
      </c>
      <c r="C17" s="12">
        <v>1768000</v>
      </c>
      <c r="D17" s="22"/>
      <c r="E17" s="22"/>
      <c r="G17" s="12">
        <v>1768000</v>
      </c>
      <c r="H17" s="21">
        <f t="shared" si="1"/>
        <v>126295.80488330449</v>
      </c>
      <c r="I17" s="82">
        <f t="shared" si="2"/>
        <v>77.578856585180787</v>
      </c>
      <c r="K17" t="s">
        <v>26</v>
      </c>
      <c r="L17">
        <v>1</v>
      </c>
      <c r="M17">
        <v>362475509.57456231</v>
      </c>
      <c r="N17">
        <v>362475509.57456231</v>
      </c>
      <c r="O17">
        <v>11.450080133579077</v>
      </c>
      <c r="P17">
        <v>2.7688137573206779E-2</v>
      </c>
    </row>
    <row r="18" spans="2:19" x14ac:dyDescent="0.25">
      <c r="K18" t="s">
        <v>27</v>
      </c>
      <c r="L18">
        <v>4</v>
      </c>
      <c r="M18">
        <v>126628112.76282635</v>
      </c>
      <c r="N18">
        <v>31657028.190706588</v>
      </c>
    </row>
    <row r="19" spans="2:19" ht="15.75" thickBot="1" x14ac:dyDescent="0.3">
      <c r="K19" s="8" t="s">
        <v>28</v>
      </c>
      <c r="L19" s="8">
        <v>5</v>
      </c>
      <c r="M19" s="8">
        <v>489103622.33738863</v>
      </c>
      <c r="N19" s="8"/>
      <c r="O19" s="8"/>
      <c r="P19" s="8"/>
    </row>
    <row r="20" spans="2:19" ht="39.75" thickBot="1" x14ac:dyDescent="0.3">
      <c r="B20" s="5" t="s">
        <v>13</v>
      </c>
    </row>
    <row r="21" spans="2:19" x14ac:dyDescent="0.25">
      <c r="K21" s="9"/>
      <c r="L21" s="9" t="s">
        <v>35</v>
      </c>
      <c r="M21" s="9" t="s">
        <v>23</v>
      </c>
      <c r="N21" s="9" t="s">
        <v>36</v>
      </c>
      <c r="O21" s="9" t="s">
        <v>37</v>
      </c>
      <c r="P21" s="9" t="s">
        <v>38</v>
      </c>
      <c r="Q21" s="9" t="s">
        <v>39</v>
      </c>
      <c r="R21" s="9" t="s">
        <v>40</v>
      </c>
      <c r="S21" s="9" t="s">
        <v>41</v>
      </c>
    </row>
    <row r="22" spans="2:19" x14ac:dyDescent="0.25">
      <c r="K22" t="s">
        <v>29</v>
      </c>
      <c r="L22">
        <v>34788.780321991719</v>
      </c>
      <c r="M22">
        <v>16589.735021424618</v>
      </c>
      <c r="N22">
        <v>2.0970063884121211</v>
      </c>
      <c r="O22">
        <v>0.10400422284706506</v>
      </c>
      <c r="P22">
        <v>-11271.708274771074</v>
      </c>
      <c r="Q22">
        <v>80849.268918754504</v>
      </c>
      <c r="R22">
        <v>-11271.708274771074</v>
      </c>
      <c r="S22">
        <v>80849.268918754504</v>
      </c>
    </row>
    <row r="23" spans="2:19" ht="15.75" thickBot="1" x14ac:dyDescent="0.3">
      <c r="B23" t="s">
        <v>18</v>
      </c>
      <c r="K23" s="8" t="s">
        <v>42</v>
      </c>
      <c r="L23" s="8">
        <v>5.1757366833321695E-2</v>
      </c>
      <c r="M23" s="8">
        <v>1.5295649048033315E-2</v>
      </c>
      <c r="N23" s="8">
        <v>3.3837967039376182</v>
      </c>
      <c r="O23" s="8">
        <v>2.7688137573206741E-2</v>
      </c>
      <c r="P23" s="8">
        <v>9.2898369030863098E-3</v>
      </c>
      <c r="Q23" s="8">
        <v>9.4224896763557081E-2</v>
      </c>
      <c r="R23" s="8">
        <v>9.2898369030863098E-3</v>
      </c>
      <c r="S23" s="8">
        <v>9.4224896763557081E-2</v>
      </c>
    </row>
    <row r="24" spans="2:19" ht="15.75" thickBot="1" x14ac:dyDescent="0.3"/>
    <row r="25" spans="2:19" x14ac:dyDescent="0.25">
      <c r="B25" s="10" t="s">
        <v>19</v>
      </c>
      <c r="C25" s="10"/>
    </row>
    <row r="26" spans="2:19" x14ac:dyDescent="0.25">
      <c r="B26" t="s">
        <v>20</v>
      </c>
      <c r="C26">
        <v>0.15895501417358021</v>
      </c>
    </row>
    <row r="27" spans="2:19" x14ac:dyDescent="0.25">
      <c r="B27" t="s">
        <v>21</v>
      </c>
      <c r="C27">
        <v>2.5266696530923081E-2</v>
      </c>
    </row>
    <row r="28" spans="2:19" x14ac:dyDescent="0.25">
      <c r="B28" t="s">
        <v>22</v>
      </c>
      <c r="C28">
        <v>-0.62455550578179486</v>
      </c>
    </row>
    <row r="29" spans="2:19" x14ac:dyDescent="0.25">
      <c r="B29" t="s">
        <v>23</v>
      </c>
      <c r="C29">
        <v>4.9963989971625482</v>
      </c>
    </row>
    <row r="30" spans="2:19" ht="15.75" thickBot="1" x14ac:dyDescent="0.3">
      <c r="B30" s="8" t="s">
        <v>24</v>
      </c>
      <c r="C30" s="8">
        <v>6</v>
      </c>
    </row>
    <row r="32" spans="2:19" ht="15.75" thickBot="1" x14ac:dyDescent="0.3">
      <c r="B32" t="s">
        <v>25</v>
      </c>
    </row>
    <row r="33" spans="2:10" x14ac:dyDescent="0.25">
      <c r="B33" s="9"/>
      <c r="C33" s="9" t="s">
        <v>30</v>
      </c>
      <c r="D33" s="9" t="s">
        <v>31</v>
      </c>
      <c r="E33" s="9" t="s">
        <v>32</v>
      </c>
      <c r="F33" s="9" t="s">
        <v>33</v>
      </c>
      <c r="G33" s="9" t="s">
        <v>34</v>
      </c>
    </row>
    <row r="34" spans="2:10" x14ac:dyDescent="0.25">
      <c r="B34" t="s">
        <v>26</v>
      </c>
      <c r="C34">
        <v>2</v>
      </c>
      <c r="D34">
        <v>1.9413245167925908</v>
      </c>
      <c r="E34">
        <v>0.97066225839629539</v>
      </c>
      <c r="F34">
        <v>3.8882476531270992E-2</v>
      </c>
      <c r="G34">
        <v>0.96234037526152627</v>
      </c>
    </row>
    <row r="35" spans="2:10" x14ac:dyDescent="0.25">
      <c r="B35" t="s">
        <v>27</v>
      </c>
      <c r="C35">
        <v>3</v>
      </c>
      <c r="D35">
        <v>74.892008816540766</v>
      </c>
      <c r="E35">
        <v>24.964002938846921</v>
      </c>
    </row>
    <row r="36" spans="2:10" ht="15.75" thickBot="1" x14ac:dyDescent="0.3">
      <c r="B36" s="8" t="s">
        <v>28</v>
      </c>
      <c r="C36" s="8">
        <v>5</v>
      </c>
      <c r="D36" s="8">
        <v>76.833333333333357</v>
      </c>
      <c r="E36" s="8"/>
      <c r="F36" s="8"/>
      <c r="G36" s="8"/>
    </row>
    <row r="37" spans="2:10" ht="15.75" thickBot="1" x14ac:dyDescent="0.3"/>
    <row r="38" spans="2:10" x14ac:dyDescent="0.25">
      <c r="B38" s="9"/>
      <c r="C38" s="9" t="s">
        <v>35</v>
      </c>
      <c r="D38" s="9" t="s">
        <v>23</v>
      </c>
      <c r="E38" s="9" t="s">
        <v>36</v>
      </c>
      <c r="F38" s="9" t="s">
        <v>37</v>
      </c>
      <c r="G38" s="9" t="s">
        <v>38</v>
      </c>
      <c r="H38" s="9" t="s">
        <v>39</v>
      </c>
      <c r="I38" s="9" t="s">
        <v>40</v>
      </c>
      <c r="J38" s="9" t="s">
        <v>41</v>
      </c>
    </row>
    <row r="39" spans="2:10" x14ac:dyDescent="0.25">
      <c r="B39" t="s">
        <v>29</v>
      </c>
      <c r="C39">
        <v>71.548633476957846</v>
      </c>
      <c r="D39">
        <v>21.34542668941954</v>
      </c>
      <c r="E39">
        <v>3.3519420585030018</v>
      </c>
      <c r="F39">
        <v>4.3995395751190151E-2</v>
      </c>
      <c r="G39">
        <v>3.6179591745103608</v>
      </c>
      <c r="H39">
        <v>139.47930777940533</v>
      </c>
      <c r="I39">
        <v>3.6179591745103608</v>
      </c>
      <c r="J39">
        <v>139.47930777940533</v>
      </c>
    </row>
    <row r="40" spans="2:10" x14ac:dyDescent="0.25">
      <c r="B40" t="s">
        <v>42</v>
      </c>
      <c r="C40">
        <v>-5.0707558299573543E-6</v>
      </c>
      <c r="D40">
        <v>2.669471716910631E-5</v>
      </c>
      <c r="E40">
        <v>-0.18995353267221426</v>
      </c>
      <c r="F40">
        <v>0.86147183076282707</v>
      </c>
      <c r="G40">
        <v>-9.0025259855373323E-5</v>
      </c>
      <c r="H40">
        <v>7.9883748195458613E-5</v>
      </c>
      <c r="I40">
        <v>-9.0025259855373323E-5</v>
      </c>
      <c r="J40">
        <v>7.9883748195458613E-5</v>
      </c>
    </row>
    <row r="41" spans="2:10" ht="15.75" thickBot="1" x14ac:dyDescent="0.3">
      <c r="B41" s="8" t="s">
        <v>43</v>
      </c>
      <c r="C41" s="8">
        <v>1.1873173007957786E-4</v>
      </c>
      <c r="D41" s="8">
        <v>4.4400927816482666E-4</v>
      </c>
      <c r="E41" s="8">
        <v>0.26740821851813162</v>
      </c>
      <c r="F41" s="8">
        <v>0.8064849493837547</v>
      </c>
      <c r="G41" s="8">
        <v>-1.2943039567277614E-3</v>
      </c>
      <c r="H41" s="8">
        <v>1.5317674168869172E-3</v>
      </c>
      <c r="I41" s="8">
        <v>-1.2943039567277614E-3</v>
      </c>
      <c r="J41" s="8">
        <v>1.5317674168869172E-3</v>
      </c>
    </row>
  </sheetData>
  <mergeCells count="1">
    <mergeCell ref="F2:I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4"/>
  <sheetViews>
    <sheetView workbookViewId="0">
      <selection activeCell="I17" sqref="I17"/>
    </sheetView>
  </sheetViews>
  <sheetFormatPr defaultRowHeight="15" x14ac:dyDescent="0.25"/>
  <cols>
    <col min="3" max="3" width="24.42578125" customWidth="1"/>
    <col min="4" max="4" width="26.140625" customWidth="1"/>
    <col min="5" max="6" width="9.140625" customWidth="1"/>
    <col min="7" max="7" width="17" customWidth="1"/>
    <col min="8" max="8" width="15.7109375" customWidth="1"/>
  </cols>
  <sheetData>
    <row r="1" spans="2:12" x14ac:dyDescent="0.25">
      <c r="E1" s="59" t="s">
        <v>46</v>
      </c>
    </row>
    <row r="2" spans="2:12" x14ac:dyDescent="0.25">
      <c r="F2" s="12"/>
      <c r="G2" s="12"/>
      <c r="H2" s="12"/>
      <c r="I2" s="15"/>
    </row>
    <row r="3" spans="2:12" ht="60" x14ac:dyDescent="0.25">
      <c r="B3" s="20" t="s">
        <v>0</v>
      </c>
      <c r="C3" s="20" t="s">
        <v>47</v>
      </c>
      <c r="D3" s="19" t="s">
        <v>2</v>
      </c>
      <c r="E3" s="19" t="s">
        <v>16</v>
      </c>
      <c r="F3" s="20" t="s">
        <v>17</v>
      </c>
      <c r="G3" s="20" t="s">
        <v>47</v>
      </c>
      <c r="H3" s="19" t="s">
        <v>44</v>
      </c>
      <c r="I3" s="2" t="s">
        <v>45</v>
      </c>
    </row>
    <row r="4" spans="2:12" ht="15.75" x14ac:dyDescent="0.25">
      <c r="B4" s="20">
        <v>2015</v>
      </c>
      <c r="C4" s="26">
        <v>872584</v>
      </c>
      <c r="D4" s="52">
        <v>25456.351699999999</v>
      </c>
      <c r="E4" s="45">
        <v>3226</v>
      </c>
      <c r="F4" s="19">
        <v>1.9</v>
      </c>
      <c r="G4" s="26">
        <v>872584</v>
      </c>
      <c r="H4" s="84">
        <f>(D4+E4)+(G4*0.019)</f>
        <v>45261.447700000004</v>
      </c>
      <c r="I4" s="20">
        <v>72</v>
      </c>
    </row>
    <row r="5" spans="2:12" ht="15.75" x14ac:dyDescent="0.25">
      <c r="B5" s="20">
        <v>2016</v>
      </c>
      <c r="C5" s="4">
        <v>972692</v>
      </c>
      <c r="D5" s="52">
        <v>37220.548924000002</v>
      </c>
      <c r="E5" s="45">
        <v>1630</v>
      </c>
      <c r="F5" s="19">
        <v>1.9</v>
      </c>
      <c r="G5" s="4">
        <v>972692</v>
      </c>
      <c r="H5" s="84">
        <f t="shared" ref="H5:H9" si="0">(D5+E5)+(G5*0.019)</f>
        <v>57331.696924000003</v>
      </c>
      <c r="I5" s="20">
        <v>76</v>
      </c>
    </row>
    <row r="6" spans="2:12" ht="15.75" x14ac:dyDescent="0.25">
      <c r="B6" s="20">
        <v>2017</v>
      </c>
      <c r="C6" s="4">
        <v>1030577</v>
      </c>
      <c r="D6" s="52">
        <v>37357.116883000002</v>
      </c>
      <c r="E6" s="45">
        <v>1601</v>
      </c>
      <c r="F6" s="19">
        <v>1.9</v>
      </c>
      <c r="G6" s="4">
        <v>1030577</v>
      </c>
      <c r="H6" s="84">
        <f t="shared" si="0"/>
        <v>58539.079882999999</v>
      </c>
      <c r="I6" s="20">
        <v>78</v>
      </c>
    </row>
    <row r="7" spans="2:12" ht="15.75" x14ac:dyDescent="0.25">
      <c r="B7" s="20">
        <v>2018</v>
      </c>
      <c r="C7" s="47">
        <v>1078384</v>
      </c>
      <c r="D7" s="52">
        <v>36755.572607999995</v>
      </c>
      <c r="E7" s="45">
        <v>2130</v>
      </c>
      <c r="F7" s="19">
        <v>1.9</v>
      </c>
      <c r="G7" s="47">
        <v>1078384</v>
      </c>
      <c r="H7" s="84">
        <f t="shared" si="0"/>
        <v>59374.86860799999</v>
      </c>
      <c r="I7" s="20">
        <v>68</v>
      </c>
    </row>
    <row r="8" spans="2:12" ht="15.75" x14ac:dyDescent="0.25">
      <c r="B8" s="20">
        <v>2019</v>
      </c>
      <c r="C8" s="13">
        <v>1136156</v>
      </c>
      <c r="D8" s="52">
        <v>39885.232175999998</v>
      </c>
      <c r="E8" s="45">
        <v>1250</v>
      </c>
      <c r="F8" s="19">
        <v>1.9</v>
      </c>
      <c r="G8" s="13">
        <v>1136156</v>
      </c>
      <c r="H8" s="84">
        <f t="shared" si="0"/>
        <v>62722.196175999998</v>
      </c>
      <c r="I8" s="20">
        <v>75</v>
      </c>
      <c r="K8" t="s">
        <v>18</v>
      </c>
    </row>
    <row r="9" spans="2:12" ht="16.5" thickBot="1" x14ac:dyDescent="0.3">
      <c r="B9" s="20">
        <v>2022</v>
      </c>
      <c r="C9" s="14">
        <v>1354556</v>
      </c>
      <c r="D9" s="52">
        <v>41873.879838000001</v>
      </c>
      <c r="E9" s="45">
        <v>5157</v>
      </c>
      <c r="F9" s="19">
        <v>1.9</v>
      </c>
      <c r="G9" s="14">
        <v>1354556</v>
      </c>
      <c r="H9" s="84">
        <f t="shared" si="0"/>
        <v>72767.443838000007</v>
      </c>
      <c r="I9" s="20">
        <v>98</v>
      </c>
    </row>
    <row r="10" spans="2:12" x14ac:dyDescent="0.25">
      <c r="B10" s="20">
        <v>2023</v>
      </c>
      <c r="C10" s="12">
        <v>1379000</v>
      </c>
      <c r="D10" s="20"/>
      <c r="E10" s="20"/>
      <c r="F10" s="20"/>
      <c r="G10" s="12">
        <v>1379000</v>
      </c>
      <c r="H10" s="21">
        <f>$L$24+$L$25*G10</f>
        <v>75218.859717162064</v>
      </c>
      <c r="I10" s="81">
        <f>$C$42+$C$43*G10+$C$44*H10</f>
        <v>93.135156319562185</v>
      </c>
      <c r="K10" s="10" t="s">
        <v>19</v>
      </c>
      <c r="L10" s="10"/>
    </row>
    <row r="11" spans="2:12" x14ac:dyDescent="0.25">
      <c r="B11" s="20">
        <v>2024</v>
      </c>
      <c r="C11" s="12">
        <v>1434000</v>
      </c>
      <c r="D11" s="20"/>
      <c r="E11" s="20"/>
      <c r="F11" s="20"/>
      <c r="G11" s="12">
        <v>1434000</v>
      </c>
      <c r="H11" s="21">
        <f t="shared" ref="H11:H17" si="1">$L$24+$L$25*G11</f>
        <v>78085.047365602979</v>
      </c>
      <c r="I11" s="81">
        <f t="shared" ref="I11:I17" si="2">$C$42+$C$43*G11+$C$44*H11</f>
        <v>95.895933129752549</v>
      </c>
      <c r="K11" t="s">
        <v>20</v>
      </c>
      <c r="L11">
        <v>0.96498666277094558</v>
      </c>
    </row>
    <row r="12" spans="2:12" x14ac:dyDescent="0.25">
      <c r="B12" s="20">
        <v>2025</v>
      </c>
      <c r="C12" s="12">
        <v>1490000</v>
      </c>
      <c r="D12" s="20"/>
      <c r="E12" s="20"/>
      <c r="F12" s="20"/>
      <c r="G12" s="12">
        <v>1490000</v>
      </c>
      <c r="H12" s="21">
        <f t="shared" si="1"/>
        <v>81003.347516742826</v>
      </c>
      <c r="I12" s="81">
        <f t="shared" si="2"/>
        <v>98.706905881946383</v>
      </c>
      <c r="K12" t="s">
        <v>21</v>
      </c>
      <c r="L12">
        <v>0.93119925932580672</v>
      </c>
    </row>
    <row r="13" spans="2:12" x14ac:dyDescent="0.25">
      <c r="B13" s="20">
        <v>2026</v>
      </c>
      <c r="C13" s="12">
        <v>1545000</v>
      </c>
      <c r="D13" s="20"/>
      <c r="E13" s="20"/>
      <c r="F13" s="20"/>
      <c r="G13" s="12">
        <v>1545000</v>
      </c>
      <c r="H13" s="21">
        <f t="shared" si="1"/>
        <v>83869.535165183712</v>
      </c>
      <c r="I13" s="81">
        <f t="shared" si="2"/>
        <v>101.46768269213675</v>
      </c>
      <c r="K13" t="s">
        <v>22</v>
      </c>
      <c r="L13">
        <v>0.91399907415725834</v>
      </c>
    </row>
    <row r="14" spans="2:12" x14ac:dyDescent="0.25">
      <c r="B14" s="20">
        <v>2027</v>
      </c>
      <c r="C14" s="12">
        <v>1601000</v>
      </c>
      <c r="D14" s="20"/>
      <c r="E14" s="20"/>
      <c r="F14" s="20"/>
      <c r="G14" s="12">
        <v>1601000</v>
      </c>
      <c r="H14" s="21">
        <f t="shared" si="1"/>
        <v>86787.835316323559</v>
      </c>
      <c r="I14" s="81">
        <f t="shared" si="2"/>
        <v>104.27865544433058</v>
      </c>
      <c r="K14" t="s">
        <v>23</v>
      </c>
      <c r="L14">
        <v>2605.2796188192674</v>
      </c>
    </row>
    <row r="15" spans="2:12" ht="15.75" thickBot="1" x14ac:dyDescent="0.3">
      <c r="B15" s="20">
        <v>2028</v>
      </c>
      <c r="C15" s="12">
        <v>1656000</v>
      </c>
      <c r="D15" s="20"/>
      <c r="E15" s="20"/>
      <c r="F15" s="20"/>
      <c r="G15" s="12">
        <v>1656000</v>
      </c>
      <c r="H15" s="21">
        <f t="shared" si="1"/>
        <v>89654.022964764445</v>
      </c>
      <c r="I15" s="81">
        <f t="shared" si="2"/>
        <v>107.03943225452099</v>
      </c>
      <c r="K15" s="8" t="s">
        <v>24</v>
      </c>
      <c r="L15" s="8">
        <v>6</v>
      </c>
    </row>
    <row r="16" spans="2:12" x14ac:dyDescent="0.25">
      <c r="B16" s="20">
        <v>2029</v>
      </c>
      <c r="C16" s="12">
        <v>1712000</v>
      </c>
      <c r="D16" s="20"/>
      <c r="E16" s="20"/>
      <c r="F16" s="20"/>
      <c r="G16" s="12">
        <v>1712000</v>
      </c>
      <c r="H16" s="21">
        <f t="shared" si="1"/>
        <v>92572.323115904292</v>
      </c>
      <c r="I16" s="81">
        <f t="shared" si="2"/>
        <v>109.85040500671482</v>
      </c>
    </row>
    <row r="17" spans="2:19" ht="15.75" thickBot="1" x14ac:dyDescent="0.3">
      <c r="B17" s="20">
        <v>2030</v>
      </c>
      <c r="C17" s="12">
        <v>1768000</v>
      </c>
      <c r="D17" s="20"/>
      <c r="E17" s="20"/>
      <c r="F17" s="20"/>
      <c r="G17" s="12">
        <v>1768000</v>
      </c>
      <c r="H17" s="21">
        <f t="shared" si="1"/>
        <v>95490.62326704411</v>
      </c>
      <c r="I17" s="81">
        <f t="shared" si="2"/>
        <v>112.66137775890866</v>
      </c>
      <c r="K17" t="s">
        <v>25</v>
      </c>
    </row>
    <row r="18" spans="2:19" x14ac:dyDescent="0.25">
      <c r="K18" s="9"/>
      <c r="L18" s="9" t="s">
        <v>30</v>
      </c>
      <c r="M18" s="9" t="s">
        <v>31</v>
      </c>
      <c r="N18" s="9" t="s">
        <v>32</v>
      </c>
      <c r="O18" s="9" t="s">
        <v>33</v>
      </c>
      <c r="P18" s="9" t="s">
        <v>34</v>
      </c>
    </row>
    <row r="19" spans="2:19" x14ac:dyDescent="0.25">
      <c r="K19" t="s">
        <v>26</v>
      </c>
      <c r="L19">
        <v>1</v>
      </c>
      <c r="M19">
        <v>367466864.3855108</v>
      </c>
      <c r="N19">
        <v>367466864.3855108</v>
      </c>
      <c r="O19">
        <v>54.138908982710625</v>
      </c>
      <c r="P19">
        <v>1.8174386593748668E-3</v>
      </c>
    </row>
    <row r="20" spans="2:19" x14ac:dyDescent="0.25">
      <c r="B20" t="s">
        <v>12</v>
      </c>
      <c r="K20" t="s">
        <v>27</v>
      </c>
      <c r="L20">
        <v>4</v>
      </c>
      <c r="M20">
        <v>27149927.568940271</v>
      </c>
      <c r="N20">
        <v>6787481.8922350677</v>
      </c>
    </row>
    <row r="21" spans="2:19" ht="15.75" thickBot="1" x14ac:dyDescent="0.3">
      <c r="K21" s="8" t="s">
        <v>28</v>
      </c>
      <c r="L21" s="8">
        <v>5</v>
      </c>
      <c r="M21" s="8">
        <v>394616791.95445108</v>
      </c>
      <c r="N21" s="8"/>
      <c r="O21" s="8"/>
      <c r="P21" s="8"/>
    </row>
    <row r="22" spans="2:19" ht="15.75" thickBot="1" x14ac:dyDescent="0.3"/>
    <row r="23" spans="2:19" x14ac:dyDescent="0.25">
      <c r="K23" s="9"/>
      <c r="L23" s="9" t="s">
        <v>35</v>
      </c>
      <c r="M23" s="9" t="s">
        <v>23</v>
      </c>
      <c r="N23" s="9" t="s">
        <v>36</v>
      </c>
      <c r="O23" s="9" t="s">
        <v>37</v>
      </c>
      <c r="P23" s="9" t="s">
        <v>38</v>
      </c>
      <c r="Q23" s="9" t="s">
        <v>39</v>
      </c>
      <c r="R23" s="9" t="s">
        <v>40</v>
      </c>
      <c r="S23" s="9" t="s">
        <v>41</v>
      </c>
    </row>
    <row r="24" spans="2:19" ht="15.75" thickBot="1" x14ac:dyDescent="0.3">
      <c r="K24" t="s">
        <v>29</v>
      </c>
      <c r="L24">
        <v>3355.7184953437463</v>
      </c>
      <c r="M24">
        <v>7681.7243659442038</v>
      </c>
      <c r="N24">
        <v>0.43684442912594357</v>
      </c>
      <c r="O24">
        <v>0.68477158857715126</v>
      </c>
      <c r="P24">
        <v>-17972.167519960662</v>
      </c>
      <c r="Q24">
        <v>24683.604510648154</v>
      </c>
      <c r="R24">
        <v>-17972.167519960662</v>
      </c>
      <c r="S24">
        <v>24683.604510648154</v>
      </c>
    </row>
    <row r="25" spans="2:19" ht="15.75" thickBot="1" x14ac:dyDescent="0.3">
      <c r="D25" s="10"/>
      <c r="E25" s="10"/>
      <c r="K25" s="8" t="s">
        <v>42</v>
      </c>
      <c r="L25" s="8">
        <v>5.2112502698925547E-2</v>
      </c>
      <c r="M25" s="8">
        <v>7.0825097467481371E-3</v>
      </c>
      <c r="N25" s="8">
        <v>7.3579147170044452</v>
      </c>
      <c r="O25" s="8">
        <v>1.8174386593748685E-3</v>
      </c>
      <c r="P25" s="8">
        <v>3.2448303180051014E-2</v>
      </c>
      <c r="Q25" s="8">
        <v>7.1776702217800081E-2</v>
      </c>
      <c r="R25" s="8">
        <v>3.2448303180051014E-2</v>
      </c>
      <c r="S25" s="8">
        <v>7.1776702217800081E-2</v>
      </c>
    </row>
    <row r="26" spans="2:19" x14ac:dyDescent="0.25">
      <c r="B26" t="s">
        <v>18</v>
      </c>
    </row>
    <row r="27" spans="2:19" ht="15.75" thickBot="1" x14ac:dyDescent="0.3"/>
    <row r="28" spans="2:19" x14ac:dyDescent="0.25">
      <c r="B28" s="10" t="s">
        <v>19</v>
      </c>
      <c r="C28" s="10"/>
    </row>
    <row r="29" spans="2:19" x14ac:dyDescent="0.25">
      <c r="B29" t="s">
        <v>20</v>
      </c>
      <c r="C29">
        <v>0.79050136548472538</v>
      </c>
    </row>
    <row r="30" spans="2:19" x14ac:dyDescent="0.25">
      <c r="B30" t="s">
        <v>21</v>
      </c>
      <c r="C30">
        <v>0.6248924088332154</v>
      </c>
    </row>
    <row r="31" spans="2:19" x14ac:dyDescent="0.25">
      <c r="B31" t="s">
        <v>22</v>
      </c>
      <c r="C31">
        <v>0.37482068138869229</v>
      </c>
    </row>
    <row r="32" spans="2:19" x14ac:dyDescent="0.25">
      <c r="B32" t="s">
        <v>23</v>
      </c>
      <c r="C32">
        <v>8.2839513441896315</v>
      </c>
    </row>
    <row r="33" spans="2:10" ht="15.75" thickBot="1" x14ac:dyDescent="0.3">
      <c r="B33" s="8" t="s">
        <v>24</v>
      </c>
      <c r="C33" s="8">
        <v>6</v>
      </c>
    </row>
    <row r="35" spans="2:10" ht="15.75" thickBot="1" x14ac:dyDescent="0.3">
      <c r="B35" t="s">
        <v>25</v>
      </c>
    </row>
    <row r="36" spans="2:10" x14ac:dyDescent="0.25">
      <c r="B36" s="9"/>
      <c r="C36" s="9" t="s">
        <v>30</v>
      </c>
      <c r="D36" s="9" t="s">
        <v>31</v>
      </c>
      <c r="E36" s="9" t="s">
        <v>32</v>
      </c>
      <c r="F36" s="9" t="s">
        <v>33</v>
      </c>
      <c r="G36" s="9" t="s">
        <v>34</v>
      </c>
    </row>
    <row r="37" spans="2:10" x14ac:dyDescent="0.25">
      <c r="B37" t="s">
        <v>26</v>
      </c>
      <c r="C37">
        <v>2</v>
      </c>
      <c r="D37">
        <v>342.96178371462969</v>
      </c>
      <c r="E37">
        <v>171.48089185731484</v>
      </c>
      <c r="F37">
        <v>2.4988526900620709</v>
      </c>
      <c r="G37">
        <v>0.22973849927161591</v>
      </c>
    </row>
    <row r="38" spans="2:10" x14ac:dyDescent="0.25">
      <c r="B38" t="s">
        <v>27</v>
      </c>
      <c r="C38">
        <v>3</v>
      </c>
      <c r="D38">
        <v>205.87154961870357</v>
      </c>
      <c r="E38">
        <v>68.623849872901189</v>
      </c>
    </row>
    <row r="39" spans="2:10" ht="15.75" thickBot="1" x14ac:dyDescent="0.3">
      <c r="B39" s="8" t="s">
        <v>28</v>
      </c>
      <c r="C39" s="8">
        <v>5</v>
      </c>
      <c r="D39" s="8">
        <v>548.83333333333326</v>
      </c>
      <c r="E39" s="8"/>
      <c r="F39" s="8"/>
      <c r="G39" s="8"/>
    </row>
    <row r="40" spans="2:10" ht="15.75" thickBot="1" x14ac:dyDescent="0.3"/>
    <row r="41" spans="2:10" x14ac:dyDescent="0.25">
      <c r="B41" s="9"/>
      <c r="C41" s="9" t="s">
        <v>35</v>
      </c>
      <c r="D41" s="9" t="s">
        <v>23</v>
      </c>
      <c r="E41" s="9" t="s">
        <v>36</v>
      </c>
      <c r="F41" s="9" t="s">
        <v>37</v>
      </c>
      <c r="G41" s="9" t="s">
        <v>38</v>
      </c>
      <c r="H41" s="9" t="s">
        <v>39</v>
      </c>
      <c r="I41" s="9" t="s">
        <v>40</v>
      </c>
      <c r="J41" s="9" t="s">
        <v>41</v>
      </c>
    </row>
    <row r="42" spans="2:10" x14ac:dyDescent="0.25">
      <c r="B42" t="s">
        <v>29</v>
      </c>
      <c r="C42">
        <v>24.831824702564369</v>
      </c>
      <c r="D42">
        <v>25.001271824626496</v>
      </c>
      <c r="E42">
        <v>0.99322245991121061</v>
      </c>
      <c r="F42">
        <v>0.39381421689184709</v>
      </c>
      <c r="G42">
        <v>-54.733380443111919</v>
      </c>
      <c r="H42">
        <v>104.39702984824066</v>
      </c>
      <c r="I42">
        <v>-54.733380443111919</v>
      </c>
      <c r="J42">
        <v>104.39702984824066</v>
      </c>
    </row>
    <row r="43" spans="2:10" x14ac:dyDescent="0.25">
      <c r="B43" t="s">
        <v>42</v>
      </c>
      <c r="C43">
        <v>6.4434477144845078E-5</v>
      </c>
      <c r="D43">
        <v>8.5856626770022126E-5</v>
      </c>
      <c r="E43">
        <v>0.75048926994815446</v>
      </c>
      <c r="F43">
        <v>0.50745957875645931</v>
      </c>
      <c r="G43">
        <v>-2.0879962750353421E-4</v>
      </c>
      <c r="H43">
        <v>3.3766858179322433E-4</v>
      </c>
      <c r="I43">
        <v>-2.0879962750353421E-4</v>
      </c>
      <c r="J43">
        <v>3.3766858179322433E-4</v>
      </c>
    </row>
    <row r="44" spans="2:10" ht="15.75" thickBot="1" x14ac:dyDescent="0.3">
      <c r="B44" s="8" t="s">
        <v>43</v>
      </c>
      <c r="C44" s="8">
        <v>-2.7322685351815329E-4</v>
      </c>
      <c r="D44" s="8">
        <v>1.5898392027386258E-3</v>
      </c>
      <c r="E44" s="8">
        <v>-0.17185816845344992</v>
      </c>
      <c r="F44" s="8">
        <v>0.87448806651726596</v>
      </c>
      <c r="G44" s="8">
        <v>-5.3328047502688904E-3</v>
      </c>
      <c r="H44" s="8">
        <v>4.7863510432325836E-3</v>
      </c>
      <c r="I44" s="8">
        <v>-5.3328047502688904E-3</v>
      </c>
      <c r="J44" s="8">
        <v>4.7863510432325836E-3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2"/>
  <sheetViews>
    <sheetView workbookViewId="0">
      <selection activeCell="I16" sqref="I16"/>
    </sheetView>
  </sheetViews>
  <sheetFormatPr defaultRowHeight="15" x14ac:dyDescent="0.25"/>
  <cols>
    <col min="3" max="3" width="24.42578125" customWidth="1"/>
    <col min="4" max="4" width="26.140625" customWidth="1"/>
    <col min="5" max="6" width="9.140625" customWidth="1"/>
    <col min="7" max="7" width="17.7109375" customWidth="1"/>
    <col min="8" max="8" width="16" customWidth="1"/>
  </cols>
  <sheetData>
    <row r="1" spans="2:16" x14ac:dyDescent="0.25">
      <c r="E1" s="59" t="s">
        <v>46</v>
      </c>
    </row>
    <row r="2" spans="2:16" x14ac:dyDescent="0.25">
      <c r="F2" s="12"/>
      <c r="G2" s="12"/>
      <c r="H2" s="12"/>
      <c r="I2" s="15"/>
    </row>
    <row r="3" spans="2:16" ht="60" x14ac:dyDescent="0.25">
      <c r="B3" s="2" t="s">
        <v>0</v>
      </c>
      <c r="C3" s="2" t="s">
        <v>47</v>
      </c>
      <c r="D3" s="3" t="s">
        <v>2</v>
      </c>
      <c r="E3" s="3" t="s">
        <v>16</v>
      </c>
      <c r="F3" s="15" t="s">
        <v>17</v>
      </c>
      <c r="G3" s="2" t="s">
        <v>47</v>
      </c>
      <c r="H3" s="28" t="s">
        <v>44</v>
      </c>
      <c r="I3" s="2" t="s">
        <v>45</v>
      </c>
    </row>
    <row r="4" spans="2:16" ht="15.75" x14ac:dyDescent="0.25">
      <c r="B4" s="2">
        <v>2015</v>
      </c>
      <c r="C4" s="26">
        <v>872584</v>
      </c>
      <c r="D4" s="51">
        <v>21848.630776000002</v>
      </c>
      <c r="E4" s="45">
        <v>26921</v>
      </c>
      <c r="F4" s="17">
        <v>1.9</v>
      </c>
      <c r="G4" s="26">
        <v>872584</v>
      </c>
      <c r="H4" s="84">
        <f>(D4+E4)+(G4*0.019)</f>
        <v>65348.72677600001</v>
      </c>
      <c r="I4" s="2">
        <v>146</v>
      </c>
    </row>
    <row r="5" spans="2:16" ht="15.75" x14ac:dyDescent="0.25">
      <c r="B5" s="2">
        <v>2016</v>
      </c>
      <c r="C5" s="4">
        <v>972692</v>
      </c>
      <c r="D5" s="51">
        <v>20403.187392</v>
      </c>
      <c r="E5" s="45">
        <v>23666</v>
      </c>
      <c r="F5" s="17">
        <v>1.9</v>
      </c>
      <c r="G5" s="4">
        <v>972692</v>
      </c>
      <c r="H5" s="84">
        <f t="shared" ref="H5:H9" si="0">(D5+E5)+(G5*0.019)</f>
        <v>62550.335392000001</v>
      </c>
      <c r="I5" s="2">
        <v>147</v>
      </c>
      <c r="K5" t="s">
        <v>18</v>
      </c>
    </row>
    <row r="6" spans="2:16" ht="16.5" thickBot="1" x14ac:dyDescent="0.3">
      <c r="B6" s="2">
        <v>2017</v>
      </c>
      <c r="C6" s="4">
        <v>1030577</v>
      </c>
      <c r="D6" s="51">
        <v>21914.189328</v>
      </c>
      <c r="E6" s="45">
        <v>27166</v>
      </c>
      <c r="F6" s="17">
        <v>1.9</v>
      </c>
      <c r="G6" s="4">
        <v>1030577</v>
      </c>
      <c r="H6" s="84">
        <f t="shared" si="0"/>
        <v>68661.152327999996</v>
      </c>
      <c r="I6" s="2">
        <v>152</v>
      </c>
    </row>
    <row r="7" spans="2:16" ht="15.75" x14ac:dyDescent="0.25">
      <c r="B7" s="2">
        <v>2018</v>
      </c>
      <c r="C7" s="47">
        <v>1078384</v>
      </c>
      <c r="D7" s="51">
        <v>28325.912527999997</v>
      </c>
      <c r="E7" s="45">
        <v>26171</v>
      </c>
      <c r="F7" s="17">
        <v>1.9</v>
      </c>
      <c r="G7" s="47">
        <v>1078384</v>
      </c>
      <c r="H7" s="84">
        <f t="shared" si="0"/>
        <v>74986.208528000003</v>
      </c>
      <c r="I7" s="2">
        <v>155</v>
      </c>
      <c r="K7" s="10" t="s">
        <v>19</v>
      </c>
      <c r="L7" s="10"/>
    </row>
    <row r="8" spans="2:16" ht="15.75" x14ac:dyDescent="0.25">
      <c r="B8" s="2">
        <v>2019</v>
      </c>
      <c r="C8" s="13">
        <v>1136156</v>
      </c>
      <c r="D8" s="51">
        <v>32306.595859999998</v>
      </c>
      <c r="E8" s="45">
        <v>32857</v>
      </c>
      <c r="F8" s="17">
        <v>1.9</v>
      </c>
      <c r="G8" s="13">
        <v>1136156</v>
      </c>
      <c r="H8" s="84">
        <f t="shared" si="0"/>
        <v>86750.559860000008</v>
      </c>
      <c r="I8" s="2">
        <v>187</v>
      </c>
      <c r="K8" t="s">
        <v>20</v>
      </c>
      <c r="L8">
        <v>0.941410848360134</v>
      </c>
    </row>
    <row r="9" spans="2:16" ht="15.75" x14ac:dyDescent="0.25">
      <c r="B9" s="2">
        <v>2022</v>
      </c>
      <c r="C9" s="14">
        <v>1354556</v>
      </c>
      <c r="D9" s="51">
        <v>33500.878991999998</v>
      </c>
      <c r="E9" s="45">
        <v>72182</v>
      </c>
      <c r="F9" s="17">
        <v>1.9</v>
      </c>
      <c r="G9" s="14">
        <v>1354556</v>
      </c>
      <c r="H9" s="84">
        <f t="shared" si="0"/>
        <v>131419.442992</v>
      </c>
      <c r="I9" s="2">
        <v>209</v>
      </c>
      <c r="K9" t="s">
        <v>21</v>
      </c>
      <c r="L9">
        <v>0.88625438541014712</v>
      </c>
    </row>
    <row r="10" spans="2:16" x14ac:dyDescent="0.25">
      <c r="B10" s="2">
        <v>2023</v>
      </c>
      <c r="C10" s="12">
        <v>1379000</v>
      </c>
      <c r="G10" s="12">
        <v>1379000</v>
      </c>
      <c r="H10" s="27">
        <f>$L$21+$L$22*G10</f>
        <v>126752.1665176049</v>
      </c>
      <c r="I10" s="82">
        <f>$E$40+$E$41*G10+$E$42*H10</f>
        <v>210.79210696297423</v>
      </c>
      <c r="K10" t="s">
        <v>22</v>
      </c>
      <c r="L10">
        <v>0.85781798176268387</v>
      </c>
    </row>
    <row r="11" spans="2:16" x14ac:dyDescent="0.25">
      <c r="B11" s="2">
        <v>2024</v>
      </c>
      <c r="C11" s="12">
        <v>1434000</v>
      </c>
      <c r="G11" s="12">
        <v>1434000</v>
      </c>
      <c r="H11" s="27">
        <f t="shared" ref="H11:H17" si="1">$L$21+$L$22*G11</f>
        <v>134895.08408941104</v>
      </c>
      <c r="I11" s="82">
        <f t="shared" ref="I11:I17" si="2">$E$40+$E$41*G11+$E$42*H11</f>
        <v>218.87356302832256</v>
      </c>
      <c r="K11" t="s">
        <v>23</v>
      </c>
      <c r="L11">
        <v>9755.3453111992276</v>
      </c>
    </row>
    <row r="12" spans="2:16" ht="15.75" thickBot="1" x14ac:dyDescent="0.3">
      <c r="B12" s="2">
        <v>2025</v>
      </c>
      <c r="C12" s="12">
        <v>1490000</v>
      </c>
      <c r="G12" s="12">
        <v>1490000</v>
      </c>
      <c r="H12" s="27">
        <f t="shared" si="1"/>
        <v>143186.05470797731</v>
      </c>
      <c r="I12" s="82">
        <f t="shared" si="2"/>
        <v>227.10195465849546</v>
      </c>
      <c r="K12" s="8" t="s">
        <v>24</v>
      </c>
      <c r="L12" s="8">
        <v>6</v>
      </c>
    </row>
    <row r="13" spans="2:16" x14ac:dyDescent="0.25">
      <c r="B13" s="2">
        <v>2026</v>
      </c>
      <c r="C13" s="12">
        <v>1545000</v>
      </c>
      <c r="G13" s="12">
        <v>1545000</v>
      </c>
      <c r="H13" s="27">
        <f t="shared" si="1"/>
        <v>151328.97227978345</v>
      </c>
      <c r="I13" s="82">
        <f t="shared" si="2"/>
        <v>235.18341072384382</v>
      </c>
    </row>
    <row r="14" spans="2:16" ht="15.75" thickBot="1" x14ac:dyDescent="0.3">
      <c r="B14" s="2">
        <v>2027</v>
      </c>
      <c r="C14" s="12">
        <v>1601000</v>
      </c>
      <c r="G14" s="12">
        <v>1601000</v>
      </c>
      <c r="H14" s="27">
        <f t="shared" si="1"/>
        <v>159619.94289834972</v>
      </c>
      <c r="I14" s="82">
        <f t="shared" si="2"/>
        <v>243.41180235401669</v>
      </c>
      <c r="K14" t="s">
        <v>25</v>
      </c>
    </row>
    <row r="15" spans="2:16" x14ac:dyDescent="0.25">
      <c r="B15" s="2">
        <v>2028</v>
      </c>
      <c r="C15" s="12">
        <v>1656000</v>
      </c>
      <c r="G15" s="12">
        <v>1656000</v>
      </c>
      <c r="H15" s="27">
        <f t="shared" si="1"/>
        <v>167762.86047015587</v>
      </c>
      <c r="I15" s="82">
        <f t="shared" si="2"/>
        <v>251.49325841936502</v>
      </c>
      <c r="K15" s="9"/>
      <c r="L15" s="9" t="s">
        <v>30</v>
      </c>
      <c r="M15" s="9" t="s">
        <v>31</v>
      </c>
      <c r="N15" s="9" t="s">
        <v>32</v>
      </c>
      <c r="O15" s="9" t="s">
        <v>33</v>
      </c>
      <c r="P15" s="9" t="s">
        <v>34</v>
      </c>
    </row>
    <row r="16" spans="2:16" x14ac:dyDescent="0.25">
      <c r="B16" s="2">
        <v>2029</v>
      </c>
      <c r="C16" s="12">
        <v>1712000</v>
      </c>
      <c r="G16" s="12">
        <v>1712000</v>
      </c>
      <c r="H16" s="27">
        <f t="shared" si="1"/>
        <v>176053.83108872213</v>
      </c>
      <c r="I16" s="82">
        <f t="shared" si="2"/>
        <v>259.72165004953797</v>
      </c>
      <c r="K16" t="s">
        <v>26</v>
      </c>
      <c r="L16">
        <v>1</v>
      </c>
      <c r="M16">
        <v>2965985478.9702401</v>
      </c>
      <c r="N16">
        <v>2965985478.9702401</v>
      </c>
      <c r="O16">
        <v>31.166190928971734</v>
      </c>
      <c r="P16">
        <v>5.0484738757269375E-3</v>
      </c>
    </row>
    <row r="17" spans="2:19" x14ac:dyDescent="0.25">
      <c r="B17" s="2">
        <v>2030</v>
      </c>
      <c r="C17" s="12">
        <v>1768000</v>
      </c>
      <c r="G17" s="12">
        <v>1768000</v>
      </c>
      <c r="H17" s="27">
        <f t="shared" si="1"/>
        <v>184344.8017072884</v>
      </c>
      <c r="I17" s="82">
        <f t="shared" si="2"/>
        <v>267.95004167971081</v>
      </c>
      <c r="K17" t="s">
        <v>27</v>
      </c>
      <c r="L17">
        <v>4</v>
      </c>
      <c r="M17">
        <v>380667048.56294698</v>
      </c>
      <c r="N17">
        <v>95166762.140736744</v>
      </c>
    </row>
    <row r="18" spans="2:19" ht="15.75" thickBot="1" x14ac:dyDescent="0.3">
      <c r="K18" s="8" t="s">
        <v>28</v>
      </c>
      <c r="L18" s="8">
        <v>5</v>
      </c>
      <c r="M18" s="8">
        <v>3346652527.5331869</v>
      </c>
      <c r="N18" s="8"/>
      <c r="O18" s="8"/>
      <c r="P18" s="8"/>
    </row>
    <row r="19" spans="2:19" ht="15.75" thickBot="1" x14ac:dyDescent="0.3"/>
    <row r="20" spans="2:19" x14ac:dyDescent="0.25">
      <c r="B20" t="s">
        <v>11</v>
      </c>
      <c r="K20" s="9"/>
      <c r="L20" s="9" t="s">
        <v>35</v>
      </c>
      <c r="M20" s="9" t="s">
        <v>23</v>
      </c>
      <c r="N20" s="9" t="s">
        <v>36</v>
      </c>
      <c r="O20" s="9" t="s">
        <v>37</v>
      </c>
      <c r="P20" s="9" t="s">
        <v>38</v>
      </c>
      <c r="Q20" s="9" t="s">
        <v>39</v>
      </c>
      <c r="R20" s="9" t="s">
        <v>40</v>
      </c>
      <c r="S20" s="9" t="s">
        <v>41</v>
      </c>
    </row>
    <row r="21" spans="2:19" ht="15.75" thickBot="1" x14ac:dyDescent="0.3">
      <c r="K21" t="s">
        <v>29</v>
      </c>
      <c r="L21">
        <v>-77412.984964589356</v>
      </c>
      <c r="M21">
        <v>28763.850618537846</v>
      </c>
      <c r="N21">
        <v>-2.6913289875972972</v>
      </c>
      <c r="O21">
        <v>5.4582750166179292E-2</v>
      </c>
      <c r="P21">
        <v>-157274.23722106928</v>
      </c>
      <c r="Q21">
        <v>2448.2672918905737</v>
      </c>
      <c r="R21">
        <v>-157274.23722106928</v>
      </c>
      <c r="S21">
        <v>2448.2672918905737</v>
      </c>
    </row>
    <row r="22" spans="2:19" ht="15.75" thickBot="1" x14ac:dyDescent="0.3">
      <c r="D22" s="10"/>
      <c r="E22" s="10"/>
      <c r="K22" s="8" t="s">
        <v>42</v>
      </c>
      <c r="L22" s="8">
        <v>0.14805304676011186</v>
      </c>
      <c r="M22" s="8">
        <v>2.6520120047910802E-2</v>
      </c>
      <c r="N22" s="8">
        <v>5.5826687998637157</v>
      </c>
      <c r="O22" s="8">
        <v>5.0484738757269228E-3</v>
      </c>
      <c r="P22" s="8">
        <v>7.4421389263832044E-2</v>
      </c>
      <c r="Q22" s="8">
        <v>0.22168470425639167</v>
      </c>
      <c r="R22" s="8">
        <v>7.4421389263832044E-2</v>
      </c>
      <c r="S22" s="8">
        <v>0.22168470425639167</v>
      </c>
    </row>
    <row r="24" spans="2:19" x14ac:dyDescent="0.25">
      <c r="D24" t="s">
        <v>18</v>
      </c>
    </row>
    <row r="25" spans="2:19" ht="15.75" thickBot="1" x14ac:dyDescent="0.3"/>
    <row r="26" spans="2:19" x14ac:dyDescent="0.25">
      <c r="D26" s="10" t="s">
        <v>19</v>
      </c>
      <c r="E26" s="10"/>
    </row>
    <row r="27" spans="2:19" x14ac:dyDescent="0.25">
      <c r="D27" t="s">
        <v>20</v>
      </c>
      <c r="E27">
        <v>0.95667924620063871</v>
      </c>
    </row>
    <row r="28" spans="2:19" x14ac:dyDescent="0.25">
      <c r="D28" t="s">
        <v>21</v>
      </c>
      <c r="E28">
        <v>0.91523518011102223</v>
      </c>
    </row>
    <row r="29" spans="2:19" x14ac:dyDescent="0.25">
      <c r="D29" t="s">
        <v>22</v>
      </c>
      <c r="E29">
        <v>0.85872530018503712</v>
      </c>
    </row>
    <row r="30" spans="2:19" x14ac:dyDescent="0.25">
      <c r="D30" t="s">
        <v>23</v>
      </c>
      <c r="E30">
        <v>9.7551339199089977</v>
      </c>
    </row>
    <row r="31" spans="2:19" ht="15.75" thickBot="1" x14ac:dyDescent="0.3">
      <c r="D31" s="8" t="s">
        <v>24</v>
      </c>
      <c r="E31" s="8">
        <v>6</v>
      </c>
    </row>
    <row r="33" spans="4:12" ht="15.75" thickBot="1" x14ac:dyDescent="0.3">
      <c r="D33" t="s">
        <v>25</v>
      </c>
    </row>
    <row r="34" spans="4:12" x14ac:dyDescent="0.25">
      <c r="D34" s="9"/>
      <c r="E34" s="9" t="s">
        <v>30</v>
      </c>
      <c r="F34" s="9" t="s">
        <v>31</v>
      </c>
      <c r="G34" s="9" t="s">
        <v>32</v>
      </c>
      <c r="H34" s="9" t="s">
        <v>33</v>
      </c>
      <c r="I34" s="9" t="s">
        <v>34</v>
      </c>
    </row>
    <row r="35" spans="4:12" x14ac:dyDescent="0.25">
      <c r="D35" t="s">
        <v>26</v>
      </c>
      <c r="E35">
        <v>2</v>
      </c>
      <c r="F35">
        <v>3082.5120866139227</v>
      </c>
      <c r="G35">
        <v>1541.2560433069614</v>
      </c>
      <c r="H35">
        <v>16.196020612851544</v>
      </c>
      <c r="I35">
        <v>2.4678767433877941E-2</v>
      </c>
    </row>
    <row r="36" spans="4:12" x14ac:dyDescent="0.25">
      <c r="D36" t="s">
        <v>27</v>
      </c>
      <c r="E36">
        <v>3</v>
      </c>
      <c r="F36">
        <v>285.48791338607731</v>
      </c>
      <c r="G36">
        <v>95.162637795359103</v>
      </c>
    </row>
    <row r="37" spans="4:12" ht="15.75" thickBot="1" x14ac:dyDescent="0.3">
      <c r="D37" s="8" t="s">
        <v>28</v>
      </c>
      <c r="E37" s="8">
        <v>5</v>
      </c>
      <c r="F37" s="8">
        <v>3368</v>
      </c>
      <c r="G37" s="8"/>
      <c r="H37" s="8"/>
      <c r="I37" s="8"/>
    </row>
    <row r="38" spans="4:12" ht="15.75" thickBot="1" x14ac:dyDescent="0.3"/>
    <row r="39" spans="4:12" x14ac:dyDescent="0.25">
      <c r="D39" s="9"/>
      <c r="E39" s="9" t="s">
        <v>35</v>
      </c>
      <c r="F39" s="9" t="s">
        <v>23</v>
      </c>
      <c r="G39" s="9" t="s">
        <v>36</v>
      </c>
      <c r="H39" s="9" t="s">
        <v>37</v>
      </c>
      <c r="I39" s="9" t="s">
        <v>38</v>
      </c>
      <c r="J39" s="9" t="s">
        <v>39</v>
      </c>
      <c r="K39" s="9" t="s">
        <v>40</v>
      </c>
      <c r="L39" s="9" t="s">
        <v>41</v>
      </c>
    </row>
    <row r="40" spans="4:12" x14ac:dyDescent="0.25">
      <c r="D40" t="s">
        <v>29</v>
      </c>
      <c r="E40">
        <v>58.533221003109233</v>
      </c>
      <c r="F40">
        <v>48.222928962560744</v>
      </c>
      <c r="G40">
        <v>1.2138047659559041</v>
      </c>
      <c r="H40">
        <v>0.31166363675982989</v>
      </c>
      <c r="I40">
        <v>-94.933661103750964</v>
      </c>
      <c r="J40">
        <v>212.00010310996942</v>
      </c>
      <c r="K40">
        <v>-94.933661103750964</v>
      </c>
      <c r="L40">
        <v>212.00010310996942</v>
      </c>
    </row>
    <row r="41" spans="4:12" x14ac:dyDescent="0.25">
      <c r="D41" t="s">
        <v>42</v>
      </c>
      <c r="E41">
        <v>5.0611545136197353E-5</v>
      </c>
      <c r="F41">
        <v>7.8631895317206007E-5</v>
      </c>
      <c r="G41">
        <v>0.64365159878223965</v>
      </c>
      <c r="H41">
        <v>0.56562245311819281</v>
      </c>
      <c r="I41">
        <v>-1.9963023959350027E-4</v>
      </c>
      <c r="J41">
        <v>3.0085332986589498E-4</v>
      </c>
      <c r="K41">
        <v>-1.9963023959350027E-4</v>
      </c>
      <c r="L41">
        <v>3.0085332986589498E-4</v>
      </c>
    </row>
    <row r="42" spans="4:12" ht="15.75" thickBot="1" x14ac:dyDescent="0.3">
      <c r="D42" s="8" t="s">
        <v>43</v>
      </c>
      <c r="E42" s="8">
        <v>6.5060477846424027E-4</v>
      </c>
      <c r="F42" s="8">
        <v>4.9998916536096445E-4</v>
      </c>
      <c r="G42" s="8">
        <v>1.3012377538112045</v>
      </c>
      <c r="H42" s="8">
        <v>0.28409547476075192</v>
      </c>
      <c r="I42" s="8">
        <v>-9.4058389352064641E-4</v>
      </c>
      <c r="J42" s="8">
        <v>2.241793450449127E-3</v>
      </c>
      <c r="K42" s="8">
        <v>-9.4058389352064641E-4</v>
      </c>
      <c r="L42" s="8">
        <v>2.241793450449127E-3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4"/>
  <sheetViews>
    <sheetView workbookViewId="0">
      <selection activeCell="I17" sqref="I17"/>
    </sheetView>
  </sheetViews>
  <sheetFormatPr defaultRowHeight="15" x14ac:dyDescent="0.25"/>
  <cols>
    <col min="3" max="3" width="24.42578125" customWidth="1"/>
    <col min="4" max="4" width="26.140625" customWidth="1"/>
    <col min="5" max="7" width="9.140625" customWidth="1"/>
    <col min="8" max="8" width="15.7109375" customWidth="1"/>
    <col min="9" max="9" width="9.140625" style="22"/>
  </cols>
  <sheetData>
    <row r="1" spans="2:16" x14ac:dyDescent="0.25">
      <c r="E1" s="59" t="s">
        <v>46</v>
      </c>
    </row>
    <row r="2" spans="2:16" x14ac:dyDescent="0.25">
      <c r="F2" s="12"/>
      <c r="G2" s="12"/>
      <c r="H2" s="12"/>
      <c r="I2" s="15"/>
    </row>
    <row r="3" spans="2:16" ht="60" x14ac:dyDescent="0.25">
      <c r="B3" s="2" t="s">
        <v>0</v>
      </c>
      <c r="C3" s="3" t="s">
        <v>47</v>
      </c>
      <c r="D3" s="3" t="s">
        <v>2</v>
      </c>
      <c r="E3" s="3" t="s">
        <v>16</v>
      </c>
      <c r="F3" s="15" t="s">
        <v>17</v>
      </c>
      <c r="G3" s="3" t="s">
        <v>47</v>
      </c>
      <c r="H3" s="28" t="s">
        <v>44</v>
      </c>
      <c r="I3" s="2" t="s">
        <v>45</v>
      </c>
    </row>
    <row r="4" spans="2:16" ht="15.75" x14ac:dyDescent="0.25">
      <c r="B4" s="2">
        <v>2015</v>
      </c>
      <c r="C4" s="26">
        <v>872584</v>
      </c>
      <c r="D4" s="51">
        <v>21561.550640000001</v>
      </c>
      <c r="E4" s="45">
        <v>65134</v>
      </c>
      <c r="F4" s="17">
        <v>1.9</v>
      </c>
      <c r="G4" s="26">
        <v>872584</v>
      </c>
      <c r="H4" s="84">
        <f>(D4+E4)+(G4*0.019)</f>
        <v>103274.64664000001</v>
      </c>
      <c r="I4" s="23">
        <v>194</v>
      </c>
      <c r="K4" t="s">
        <v>18</v>
      </c>
    </row>
    <row r="5" spans="2:16" ht="16.5" thickBot="1" x14ac:dyDescent="0.3">
      <c r="B5" s="2">
        <v>2016</v>
      </c>
      <c r="C5" s="4">
        <v>972692</v>
      </c>
      <c r="D5" s="51">
        <v>22437.086363999999</v>
      </c>
      <c r="E5" s="45">
        <v>68930</v>
      </c>
      <c r="F5" s="17">
        <v>1.9</v>
      </c>
      <c r="G5" s="4">
        <v>972692</v>
      </c>
      <c r="H5" s="84">
        <f t="shared" ref="H5:H9" si="0">(D5+E5)+(G5*0.019)</f>
        <v>109848.234364</v>
      </c>
      <c r="I5" s="23">
        <v>191</v>
      </c>
    </row>
    <row r="6" spans="2:16" ht="15.75" x14ac:dyDescent="0.25">
      <c r="B6" s="2">
        <v>2017</v>
      </c>
      <c r="C6" s="4">
        <v>1030577</v>
      </c>
      <c r="D6" s="51">
        <v>26173.564069</v>
      </c>
      <c r="E6" s="45">
        <v>70370</v>
      </c>
      <c r="F6" s="17">
        <v>1.9</v>
      </c>
      <c r="G6" s="4">
        <v>1030577</v>
      </c>
      <c r="H6" s="84">
        <f t="shared" si="0"/>
        <v>116124.527069</v>
      </c>
      <c r="I6" s="23">
        <v>194</v>
      </c>
      <c r="K6" s="10" t="s">
        <v>19</v>
      </c>
      <c r="L6" s="10"/>
    </row>
    <row r="7" spans="2:16" ht="15.75" x14ac:dyDescent="0.25">
      <c r="B7" s="2">
        <v>2018</v>
      </c>
      <c r="C7" s="47">
        <v>1078384</v>
      </c>
      <c r="D7" s="51">
        <v>28634.330352000001</v>
      </c>
      <c r="E7" s="45">
        <v>96743</v>
      </c>
      <c r="F7" s="17">
        <v>1.9</v>
      </c>
      <c r="G7" s="47">
        <v>1078384</v>
      </c>
      <c r="H7" s="84">
        <f t="shared" si="0"/>
        <v>145866.62635199999</v>
      </c>
      <c r="I7" s="23">
        <v>193</v>
      </c>
      <c r="K7" t="s">
        <v>20</v>
      </c>
      <c r="L7">
        <v>0.96374045780591366</v>
      </c>
    </row>
    <row r="8" spans="2:16" ht="15.75" x14ac:dyDescent="0.25">
      <c r="B8" s="2">
        <v>2019</v>
      </c>
      <c r="C8" s="13">
        <v>1136156</v>
      </c>
      <c r="D8" s="51">
        <v>29617.314608000001</v>
      </c>
      <c r="E8" s="45">
        <v>92805</v>
      </c>
      <c r="F8" s="17">
        <v>1.9</v>
      </c>
      <c r="G8" s="13">
        <v>1136156</v>
      </c>
      <c r="H8" s="84">
        <f t="shared" si="0"/>
        <v>144009.27860799999</v>
      </c>
      <c r="I8" s="23">
        <v>217</v>
      </c>
      <c r="K8" t="s">
        <v>21</v>
      </c>
      <c r="L8">
        <v>0.92879567001195207</v>
      </c>
    </row>
    <row r="9" spans="2:16" ht="15.75" x14ac:dyDescent="0.25">
      <c r="B9" s="2">
        <v>2022</v>
      </c>
      <c r="C9" s="14">
        <v>1354556</v>
      </c>
      <c r="D9" s="51">
        <v>48562.187156</v>
      </c>
      <c r="E9" s="45">
        <v>105001</v>
      </c>
      <c r="F9" s="17">
        <v>1.9</v>
      </c>
      <c r="G9" s="14">
        <v>1354556</v>
      </c>
      <c r="H9" s="84">
        <f t="shared" si="0"/>
        <v>179299.75115600001</v>
      </c>
      <c r="I9" s="23">
        <v>248</v>
      </c>
      <c r="K9" t="s">
        <v>22</v>
      </c>
      <c r="L9">
        <v>0.91099458751494011</v>
      </c>
    </row>
    <row r="10" spans="2:16" x14ac:dyDescent="0.25">
      <c r="B10" s="2">
        <v>2023</v>
      </c>
      <c r="C10" s="12">
        <v>1379000</v>
      </c>
      <c r="G10" s="12">
        <v>1379000</v>
      </c>
      <c r="H10" s="27">
        <f>$L$20+$L$21*G10</f>
        <v>184426.7693103723</v>
      </c>
      <c r="I10" s="86">
        <f>$E$39+$E$40*G10+$E$41*H10</f>
        <v>244.1675495078436</v>
      </c>
      <c r="K10" t="s">
        <v>23</v>
      </c>
      <c r="L10">
        <v>8579.2453668891667</v>
      </c>
    </row>
    <row r="11" spans="2:16" ht="15.75" thickBot="1" x14ac:dyDescent="0.3">
      <c r="B11" s="2">
        <v>2024</v>
      </c>
      <c r="C11" s="12">
        <v>1434000</v>
      </c>
      <c r="G11" s="12">
        <v>1434000</v>
      </c>
      <c r="H11" s="27">
        <f t="shared" ref="H11:H17" si="1">$L$20+$L$21*G11</f>
        <v>193692.53901391139</v>
      </c>
      <c r="I11" s="86">
        <f t="shared" ref="I11:I17" si="2">$E$39+$E$40*G11+$E$41*H11</f>
        <v>251.02372319441028</v>
      </c>
      <c r="K11" s="8" t="s">
        <v>24</v>
      </c>
      <c r="L11" s="8">
        <v>6</v>
      </c>
    </row>
    <row r="12" spans="2:16" x14ac:dyDescent="0.25">
      <c r="B12" s="2">
        <v>2025</v>
      </c>
      <c r="C12" s="12">
        <v>1490000</v>
      </c>
      <c r="G12" s="12">
        <v>1490000</v>
      </c>
      <c r="H12" s="27">
        <f t="shared" si="1"/>
        <v>203126.7772575148</v>
      </c>
      <c r="I12" s="86">
        <f t="shared" si="2"/>
        <v>258.00455458436903</v>
      </c>
    </row>
    <row r="13" spans="2:16" ht="15.75" thickBot="1" x14ac:dyDescent="0.3">
      <c r="B13" s="2">
        <v>2026</v>
      </c>
      <c r="C13" s="12">
        <v>1545000</v>
      </c>
      <c r="G13" s="12">
        <v>1545000</v>
      </c>
      <c r="H13" s="27">
        <f t="shared" si="1"/>
        <v>212392.54696105389</v>
      </c>
      <c r="I13" s="86">
        <f t="shared" si="2"/>
        <v>264.86072827093568</v>
      </c>
      <c r="K13" t="s">
        <v>25</v>
      </c>
    </row>
    <row r="14" spans="2:16" x14ac:dyDescent="0.25">
      <c r="B14" s="2">
        <v>2027</v>
      </c>
      <c r="C14" s="12">
        <v>1601000</v>
      </c>
      <c r="G14" s="12">
        <v>1601000</v>
      </c>
      <c r="H14" s="27">
        <f t="shared" si="1"/>
        <v>221826.7852046573</v>
      </c>
      <c r="I14" s="86">
        <f t="shared" si="2"/>
        <v>271.84155966089452</v>
      </c>
      <c r="K14" s="9"/>
      <c r="L14" s="9" t="s">
        <v>30</v>
      </c>
      <c r="M14" s="9" t="s">
        <v>31</v>
      </c>
      <c r="N14" s="9" t="s">
        <v>32</v>
      </c>
      <c r="O14" s="9" t="s">
        <v>33</v>
      </c>
      <c r="P14" s="9" t="s">
        <v>34</v>
      </c>
    </row>
    <row r="15" spans="2:16" x14ac:dyDescent="0.25">
      <c r="B15" s="2">
        <v>2028</v>
      </c>
      <c r="C15" s="12">
        <v>1656000</v>
      </c>
      <c r="G15" s="12">
        <v>1656000</v>
      </c>
      <c r="H15" s="27">
        <f t="shared" si="1"/>
        <v>231092.55490819638</v>
      </c>
      <c r="I15" s="86">
        <f t="shared" si="2"/>
        <v>278.69773334746111</v>
      </c>
      <c r="K15" t="s">
        <v>26</v>
      </c>
      <c r="L15">
        <v>1</v>
      </c>
      <c r="M15">
        <v>3840360082.5316253</v>
      </c>
      <c r="N15">
        <v>3840360082.5316253</v>
      </c>
      <c r="O15">
        <v>52.176358947151421</v>
      </c>
      <c r="P15">
        <v>1.948295403864E-3</v>
      </c>
    </row>
    <row r="16" spans="2:16" x14ac:dyDescent="0.25">
      <c r="B16" s="2">
        <v>2029</v>
      </c>
      <c r="C16" s="12">
        <v>1712000</v>
      </c>
      <c r="G16" s="12">
        <v>1712000</v>
      </c>
      <c r="H16" s="27">
        <f t="shared" si="1"/>
        <v>240526.79315179982</v>
      </c>
      <c r="I16" s="86">
        <f t="shared" si="2"/>
        <v>285.67856473741989</v>
      </c>
      <c r="K16" t="s">
        <v>27</v>
      </c>
      <c r="L16">
        <v>4</v>
      </c>
      <c r="M16">
        <v>294413804.26115692</v>
      </c>
      <c r="N16">
        <v>73603451.065289229</v>
      </c>
    </row>
    <row r="17" spans="2:19" ht="15.75" thickBot="1" x14ac:dyDescent="0.3">
      <c r="B17" s="2">
        <v>2030</v>
      </c>
      <c r="C17" s="12">
        <v>1768000</v>
      </c>
      <c r="G17" s="12">
        <v>1768000</v>
      </c>
      <c r="H17" s="27">
        <f t="shared" si="1"/>
        <v>249961.03139540326</v>
      </c>
      <c r="I17" s="86">
        <f t="shared" si="2"/>
        <v>292.65939612737867</v>
      </c>
      <c r="K17" s="8" t="s">
        <v>28</v>
      </c>
      <c r="L17" s="8">
        <v>5</v>
      </c>
      <c r="M17" s="8">
        <v>4134773886.7927823</v>
      </c>
      <c r="N17" s="8"/>
      <c r="O17" s="8"/>
      <c r="P17" s="8"/>
    </row>
    <row r="18" spans="2:19" ht="15.75" thickBot="1" x14ac:dyDescent="0.3"/>
    <row r="19" spans="2:19" x14ac:dyDescent="0.25">
      <c r="K19" s="9"/>
      <c r="L19" s="9" t="s">
        <v>35</v>
      </c>
      <c r="M19" s="9" t="s">
        <v>23</v>
      </c>
      <c r="N19" s="9" t="s">
        <v>36</v>
      </c>
      <c r="O19" s="9" t="s">
        <v>37</v>
      </c>
      <c r="P19" s="9" t="s">
        <v>38</v>
      </c>
      <c r="Q19" s="9" t="s">
        <v>39</v>
      </c>
      <c r="R19" s="9" t="s">
        <v>40</v>
      </c>
      <c r="S19" s="9" t="s">
        <v>41</v>
      </c>
    </row>
    <row r="20" spans="2:19" ht="26.25" x14ac:dyDescent="0.25">
      <c r="B20" s="5" t="s">
        <v>10</v>
      </c>
      <c r="I20"/>
      <c r="K20" t="s">
        <v>29</v>
      </c>
      <c r="L20">
        <v>-47891.347438362136</v>
      </c>
      <c r="M20">
        <v>25296.094016240124</v>
      </c>
      <c r="N20">
        <v>-1.8932309236206915</v>
      </c>
      <c r="O20">
        <v>0.13126006313770994</v>
      </c>
      <c r="P20">
        <v>-118124.56385037521</v>
      </c>
      <c r="Q20">
        <v>22341.86897365094</v>
      </c>
      <c r="R20">
        <v>-118124.56385037521</v>
      </c>
      <c r="S20">
        <v>22341.86897365094</v>
      </c>
    </row>
    <row r="21" spans="2:19" ht="15.75" thickBot="1" x14ac:dyDescent="0.3">
      <c r="I21"/>
      <c r="K21" s="8" t="s">
        <v>42</v>
      </c>
      <c r="L21" s="8">
        <v>0.16846854006434694</v>
      </c>
      <c r="M21" s="8">
        <v>2.3322866571333478E-2</v>
      </c>
      <c r="N21" s="8">
        <v>7.2233204931770443</v>
      </c>
      <c r="O21" s="8">
        <v>1.9482954038639963E-3</v>
      </c>
      <c r="P21" s="8">
        <v>0.10371388133318686</v>
      </c>
      <c r="Q21" s="8">
        <v>0.23322319879550701</v>
      </c>
      <c r="R21" s="8">
        <v>0.10371388133318686</v>
      </c>
      <c r="S21" s="8">
        <v>0.23322319879550701</v>
      </c>
    </row>
    <row r="22" spans="2:19" x14ac:dyDescent="0.25">
      <c r="I22"/>
    </row>
    <row r="23" spans="2:19" x14ac:dyDescent="0.25">
      <c r="D23" t="s">
        <v>18</v>
      </c>
      <c r="I23"/>
    </row>
    <row r="24" spans="2:19" ht="15.75" thickBot="1" x14ac:dyDescent="0.3">
      <c r="I24"/>
    </row>
    <row r="25" spans="2:19" x14ac:dyDescent="0.25">
      <c r="D25" s="10" t="s">
        <v>19</v>
      </c>
      <c r="E25" s="10"/>
      <c r="I25"/>
    </row>
    <row r="26" spans="2:19" x14ac:dyDescent="0.25">
      <c r="D26" t="s">
        <v>20</v>
      </c>
      <c r="E26">
        <v>0.90607148057874243</v>
      </c>
      <c r="I26"/>
    </row>
    <row r="27" spans="2:19" x14ac:dyDescent="0.25">
      <c r="D27" t="s">
        <v>21</v>
      </c>
      <c r="E27">
        <v>0.82096552791815447</v>
      </c>
      <c r="I27"/>
    </row>
    <row r="28" spans="2:19" x14ac:dyDescent="0.25">
      <c r="D28" t="s">
        <v>22</v>
      </c>
      <c r="E28">
        <v>0.70160921319692415</v>
      </c>
      <c r="I28"/>
    </row>
    <row r="29" spans="2:19" x14ac:dyDescent="0.25">
      <c r="D29" t="s">
        <v>23</v>
      </c>
      <c r="E29">
        <v>12.376747698209694</v>
      </c>
      <c r="I29"/>
    </row>
    <row r="30" spans="2:19" ht="15.75" thickBot="1" x14ac:dyDescent="0.3">
      <c r="D30" s="8" t="s">
        <v>24</v>
      </c>
      <c r="E30" s="8">
        <v>6</v>
      </c>
      <c r="I30"/>
    </row>
    <row r="31" spans="2:19" x14ac:dyDescent="0.25">
      <c r="I31"/>
    </row>
    <row r="32" spans="2:19" ht="15.75" thickBot="1" x14ac:dyDescent="0.3">
      <c r="D32" t="s">
        <v>25</v>
      </c>
      <c r="I32"/>
    </row>
    <row r="33" spans="4:12" x14ac:dyDescent="0.25">
      <c r="D33" s="9"/>
      <c r="E33" s="9" t="s">
        <v>30</v>
      </c>
      <c r="F33" s="9" t="s">
        <v>31</v>
      </c>
      <c r="G33" s="9" t="s">
        <v>32</v>
      </c>
      <c r="H33" s="9" t="s">
        <v>33</v>
      </c>
      <c r="I33" s="9" t="s">
        <v>34</v>
      </c>
    </row>
    <row r="34" spans="4:12" x14ac:dyDescent="0.25">
      <c r="D34" t="s">
        <v>26</v>
      </c>
      <c r="E34">
        <v>2</v>
      </c>
      <c r="F34">
        <v>2107.2816825779159</v>
      </c>
      <c r="G34">
        <v>1053.640841288958</v>
      </c>
      <c r="H34">
        <v>6.8782747677457126</v>
      </c>
      <c r="I34">
        <v>7.5753898896983585E-2</v>
      </c>
    </row>
    <row r="35" spans="4:12" x14ac:dyDescent="0.25">
      <c r="D35" t="s">
        <v>27</v>
      </c>
      <c r="E35">
        <v>3</v>
      </c>
      <c r="F35">
        <v>459.55165075541692</v>
      </c>
      <c r="G35">
        <v>153.18388358513897</v>
      </c>
      <c r="I35"/>
    </row>
    <row r="36" spans="4:12" ht="15.75" thickBot="1" x14ac:dyDescent="0.3">
      <c r="D36" s="8" t="s">
        <v>28</v>
      </c>
      <c r="E36" s="8">
        <v>5</v>
      </c>
      <c r="F36" s="8">
        <v>2566.833333333333</v>
      </c>
      <c r="G36" s="8"/>
      <c r="H36" s="8"/>
      <c r="I36" s="8"/>
    </row>
    <row r="37" spans="4:12" ht="15.75" thickBot="1" x14ac:dyDescent="0.3">
      <c r="I37"/>
    </row>
    <row r="38" spans="4:12" x14ac:dyDescent="0.25">
      <c r="D38" s="9"/>
      <c r="E38" s="9" t="s">
        <v>35</v>
      </c>
      <c r="F38" s="9" t="s">
        <v>23</v>
      </c>
      <c r="G38" s="9" t="s">
        <v>36</v>
      </c>
      <c r="H38" s="9" t="s">
        <v>37</v>
      </c>
      <c r="I38" s="9" t="s">
        <v>38</v>
      </c>
      <c r="J38" s="9" t="s">
        <v>39</v>
      </c>
      <c r="K38" s="9" t="s">
        <v>40</v>
      </c>
      <c r="L38" s="9" t="s">
        <v>41</v>
      </c>
    </row>
    <row r="39" spans="4:12" x14ac:dyDescent="0.25">
      <c r="D39" t="s">
        <v>29</v>
      </c>
      <c r="E39">
        <v>66.275255540535483</v>
      </c>
      <c r="F39">
        <v>50.250378775457008</v>
      </c>
      <c r="G39">
        <v>1.3189006163851098</v>
      </c>
      <c r="H39">
        <v>0.27884184623397429</v>
      </c>
      <c r="I39">
        <v>-93.643876732524575</v>
      </c>
      <c r="J39">
        <v>226.19438781359554</v>
      </c>
      <c r="K39">
        <v>-93.643876732524575</v>
      </c>
      <c r="L39">
        <v>226.19438781359554</v>
      </c>
    </row>
    <row r="40" spans="4:12" x14ac:dyDescent="0.25">
      <c r="D40" t="s">
        <v>42</v>
      </c>
      <c r="E40">
        <v>1.4572648130422368E-4</v>
      </c>
      <c r="F40">
        <v>1.2609160552621169E-4</v>
      </c>
      <c r="G40">
        <v>1.1557191352752689</v>
      </c>
      <c r="H40">
        <v>0.33148272008250107</v>
      </c>
      <c r="I40">
        <v>-2.5555328282995959E-4</v>
      </c>
      <c r="J40">
        <v>5.4700624543840696E-4</v>
      </c>
      <c r="K40">
        <v>-2.5555328282995959E-4</v>
      </c>
      <c r="L40">
        <v>5.4700624543840696E-4</v>
      </c>
    </row>
    <row r="41" spans="4:12" ht="15.75" thickBot="1" x14ac:dyDescent="0.3">
      <c r="D41" s="8" t="s">
        <v>43</v>
      </c>
      <c r="E41" s="8">
        <v>-1.2506060718550546E-4</v>
      </c>
      <c r="F41" s="8">
        <v>7.2131913524566211E-4</v>
      </c>
      <c r="G41" s="8">
        <v>-0.1733776369913064</v>
      </c>
      <c r="H41" s="8">
        <v>0.8733929593648585</v>
      </c>
      <c r="I41" s="8">
        <v>-2.4206200240785031E-3</v>
      </c>
      <c r="J41" s="8">
        <v>2.1704988097074919E-3</v>
      </c>
      <c r="K41" s="8">
        <v>-2.4206200240785031E-3</v>
      </c>
      <c r="L41" s="8">
        <v>2.1704988097074919E-3</v>
      </c>
    </row>
    <row r="42" spans="4:12" x14ac:dyDescent="0.25">
      <c r="I42"/>
    </row>
    <row r="43" spans="4:12" x14ac:dyDescent="0.25">
      <c r="I43"/>
    </row>
    <row r="44" spans="4:12" x14ac:dyDescent="0.25">
      <c r="I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0"/>
  <sheetViews>
    <sheetView zoomScale="90" zoomScaleNormal="90" workbookViewId="0">
      <selection activeCell="I16" sqref="I16"/>
    </sheetView>
  </sheetViews>
  <sheetFormatPr defaultRowHeight="15" x14ac:dyDescent="0.25"/>
  <cols>
    <col min="2" max="2" width="9.140625" style="42"/>
    <col min="3" max="3" width="13.7109375" style="42" customWidth="1"/>
    <col min="4" max="4" width="26.140625" style="42" customWidth="1"/>
    <col min="5" max="6" width="9.140625" style="42" customWidth="1"/>
    <col min="7" max="7" width="24.42578125" style="42" customWidth="1"/>
    <col min="8" max="8" width="16.28515625" style="42" customWidth="1"/>
    <col min="9" max="9" width="10.85546875" style="42" customWidth="1"/>
  </cols>
  <sheetData>
    <row r="1" spans="2:12" x14ac:dyDescent="0.25">
      <c r="F1" s="59" t="s">
        <v>46</v>
      </c>
    </row>
    <row r="2" spans="2:12" ht="60" x14ac:dyDescent="0.25">
      <c r="B2" s="20" t="s">
        <v>0</v>
      </c>
      <c r="C2" s="3" t="s">
        <v>47</v>
      </c>
      <c r="D2" s="19" t="s">
        <v>2</v>
      </c>
      <c r="E2" s="19" t="s">
        <v>16</v>
      </c>
      <c r="F2" s="20" t="s">
        <v>17</v>
      </c>
      <c r="G2" s="3" t="s">
        <v>47</v>
      </c>
      <c r="H2" s="19" t="s">
        <v>44</v>
      </c>
      <c r="I2" s="2" t="s">
        <v>45</v>
      </c>
    </row>
    <row r="3" spans="2:12" ht="15.75" x14ac:dyDescent="0.25">
      <c r="B3" s="20">
        <v>2015</v>
      </c>
      <c r="C3" s="26">
        <v>872584</v>
      </c>
      <c r="D3" s="51">
        <v>7172.64048</v>
      </c>
      <c r="E3" s="45">
        <v>3156</v>
      </c>
      <c r="F3" s="19">
        <v>1.9</v>
      </c>
      <c r="G3" s="26">
        <v>872584</v>
      </c>
      <c r="H3" s="84">
        <f>(D3+E3)+(G3*0.019)</f>
        <v>26907.73648</v>
      </c>
      <c r="I3" s="20">
        <v>35</v>
      </c>
    </row>
    <row r="4" spans="2:12" ht="15.75" x14ac:dyDescent="0.25">
      <c r="B4" s="20">
        <v>2016</v>
      </c>
      <c r="C4" s="4">
        <v>972692</v>
      </c>
      <c r="D4" s="51">
        <v>6754.3732480000008</v>
      </c>
      <c r="E4" s="45">
        <v>3526</v>
      </c>
      <c r="F4" s="19">
        <v>1.9</v>
      </c>
      <c r="G4" s="4">
        <v>972692</v>
      </c>
      <c r="H4" s="84">
        <f t="shared" ref="H4:H8" si="0">(D4+E4)+(G4*0.019)</f>
        <v>28761.521248000001</v>
      </c>
      <c r="I4" s="20">
        <v>30</v>
      </c>
    </row>
    <row r="5" spans="2:12" ht="15.75" x14ac:dyDescent="0.25">
      <c r="B5" s="20">
        <v>2017</v>
      </c>
      <c r="C5" s="4">
        <v>1030577</v>
      </c>
      <c r="D5" s="51">
        <v>7927.1982840000001</v>
      </c>
      <c r="E5" s="45">
        <v>2207</v>
      </c>
      <c r="F5" s="19">
        <v>1.9</v>
      </c>
      <c r="G5" s="4">
        <v>1030577</v>
      </c>
      <c r="H5" s="84">
        <f t="shared" si="0"/>
        <v>29715.161284000002</v>
      </c>
      <c r="I5" s="20">
        <v>40</v>
      </c>
    </row>
    <row r="6" spans="2:12" ht="15.75" x14ac:dyDescent="0.25">
      <c r="B6" s="20">
        <v>2018</v>
      </c>
      <c r="C6" s="47">
        <v>1078384</v>
      </c>
      <c r="D6" s="51">
        <v>9766.9238879999994</v>
      </c>
      <c r="E6" s="45">
        <v>2852</v>
      </c>
      <c r="F6" s="19">
        <v>1.9</v>
      </c>
      <c r="G6" s="47">
        <v>1078384</v>
      </c>
      <c r="H6" s="84">
        <f t="shared" si="0"/>
        <v>33108.219888</v>
      </c>
      <c r="I6" s="20">
        <v>38</v>
      </c>
    </row>
    <row r="7" spans="2:12" ht="15.75" x14ac:dyDescent="0.25">
      <c r="B7" s="20">
        <v>2019</v>
      </c>
      <c r="C7" s="13">
        <v>1136156</v>
      </c>
      <c r="D7" s="51">
        <v>9269.896804</v>
      </c>
      <c r="E7" s="45">
        <v>3945</v>
      </c>
      <c r="F7" s="19">
        <v>1.9</v>
      </c>
      <c r="G7" s="13">
        <v>1136156</v>
      </c>
      <c r="H7" s="84">
        <f t="shared" si="0"/>
        <v>34801.860803999996</v>
      </c>
      <c r="I7" s="20">
        <v>46</v>
      </c>
    </row>
    <row r="8" spans="2:12" ht="15.75" x14ac:dyDescent="0.25">
      <c r="B8" s="20">
        <v>2022</v>
      </c>
      <c r="C8" s="14">
        <v>1354556</v>
      </c>
      <c r="D8" s="51">
        <v>1029.4625600000002</v>
      </c>
      <c r="E8" s="45">
        <v>2153</v>
      </c>
      <c r="F8" s="19">
        <v>1.9</v>
      </c>
      <c r="G8" s="14">
        <v>1354556</v>
      </c>
      <c r="H8" s="84">
        <f t="shared" si="0"/>
        <v>28919.026559999998</v>
      </c>
      <c r="I8" s="20">
        <v>51</v>
      </c>
    </row>
    <row r="9" spans="2:12" x14ac:dyDescent="0.25">
      <c r="B9" s="20">
        <v>2023</v>
      </c>
      <c r="C9" s="12">
        <v>1379000</v>
      </c>
      <c r="D9" s="25"/>
      <c r="E9" s="25"/>
      <c r="F9" s="25"/>
      <c r="G9" s="12">
        <v>1379000</v>
      </c>
      <c r="H9" s="21">
        <f>$L$27+$L$28*G9</f>
        <v>32101.698413754086</v>
      </c>
      <c r="I9" s="81">
        <f>$E$45+$E$46*G9+$E$47*H9</f>
        <v>52.32431582687385</v>
      </c>
    </row>
    <row r="10" spans="2:12" x14ac:dyDescent="0.25">
      <c r="B10" s="20">
        <v>2024</v>
      </c>
      <c r="C10" s="12">
        <v>1434000</v>
      </c>
      <c r="D10" s="25"/>
      <c r="E10" s="25"/>
      <c r="F10" s="25"/>
      <c r="G10" s="12">
        <v>1434000</v>
      </c>
      <c r="H10" s="21">
        <f t="shared" ref="H10:H16" si="1">$L$27+$L$28*G10</f>
        <v>32414.32858755397</v>
      </c>
      <c r="I10" s="81">
        <f t="shared" ref="I10:I16" si="2">$E$45+$E$46*G10+$E$47*H10</f>
        <v>54.54788653259412</v>
      </c>
    </row>
    <row r="11" spans="2:12" x14ac:dyDescent="0.25">
      <c r="B11" s="20">
        <v>2025</v>
      </c>
      <c r="C11" s="12">
        <v>1490000</v>
      </c>
      <c r="D11" s="25"/>
      <c r="E11" s="25"/>
      <c r="F11" s="25"/>
      <c r="G11" s="12">
        <v>1490000</v>
      </c>
      <c r="H11" s="21">
        <f t="shared" si="1"/>
        <v>32732.642946332031</v>
      </c>
      <c r="I11" s="81">
        <f t="shared" si="2"/>
        <v>56.811885796600222</v>
      </c>
      <c r="K11" t="s">
        <v>18</v>
      </c>
    </row>
    <row r="12" spans="2:12" ht="15.75" thickBot="1" x14ac:dyDescent="0.3">
      <c r="B12" s="20">
        <v>2026</v>
      </c>
      <c r="C12" s="12">
        <v>1545000</v>
      </c>
      <c r="D12" s="25"/>
      <c r="E12" s="25"/>
      <c r="F12" s="25"/>
      <c r="G12" s="12">
        <v>1545000</v>
      </c>
      <c r="H12" s="21">
        <f t="shared" si="1"/>
        <v>33045.273120131911</v>
      </c>
      <c r="I12" s="81">
        <f t="shared" si="2"/>
        <v>59.035456502320493</v>
      </c>
    </row>
    <row r="13" spans="2:12" x14ac:dyDescent="0.25">
      <c r="B13" s="20">
        <v>2027</v>
      </c>
      <c r="C13" s="12">
        <v>1601000</v>
      </c>
      <c r="D13" s="25"/>
      <c r="E13" s="25"/>
      <c r="F13" s="25"/>
      <c r="G13" s="12">
        <v>1601000</v>
      </c>
      <c r="H13" s="21">
        <f t="shared" si="1"/>
        <v>33363.587478909976</v>
      </c>
      <c r="I13" s="81">
        <f t="shared" si="2"/>
        <v>61.299455766326588</v>
      </c>
      <c r="K13" s="10" t="s">
        <v>19</v>
      </c>
      <c r="L13" s="10"/>
    </row>
    <row r="14" spans="2:12" x14ac:dyDescent="0.25">
      <c r="B14" s="20">
        <v>2028</v>
      </c>
      <c r="C14" s="12">
        <v>1656000</v>
      </c>
      <c r="D14" s="25"/>
      <c r="E14" s="25"/>
      <c r="F14" s="25"/>
      <c r="G14" s="12">
        <v>1656000</v>
      </c>
      <c r="H14" s="21">
        <f t="shared" si="1"/>
        <v>33676.217652709856</v>
      </c>
      <c r="I14" s="81">
        <f t="shared" si="2"/>
        <v>63.523026472046858</v>
      </c>
      <c r="K14" t="s">
        <v>20</v>
      </c>
      <c r="L14">
        <v>0.31433252290964969</v>
      </c>
    </row>
    <row r="15" spans="2:12" x14ac:dyDescent="0.25">
      <c r="B15" s="20">
        <v>2029</v>
      </c>
      <c r="C15" s="12">
        <v>1712000</v>
      </c>
      <c r="D15" s="25"/>
      <c r="E15" s="25"/>
      <c r="F15" s="25"/>
      <c r="G15" s="12">
        <v>1712000</v>
      </c>
      <c r="H15" s="21">
        <f t="shared" si="1"/>
        <v>33994.532011487921</v>
      </c>
      <c r="I15" s="81">
        <f t="shared" si="2"/>
        <v>65.787025736052954</v>
      </c>
      <c r="K15" t="s">
        <v>21</v>
      </c>
      <c r="L15">
        <v>9.8804934958745455E-2</v>
      </c>
    </row>
    <row r="16" spans="2:12" x14ac:dyDescent="0.25">
      <c r="B16" s="20">
        <v>2030</v>
      </c>
      <c r="C16" s="12">
        <v>1768000</v>
      </c>
      <c r="D16" s="25"/>
      <c r="E16" s="25"/>
      <c r="F16" s="25"/>
      <c r="G16" s="12">
        <v>1768000</v>
      </c>
      <c r="H16" s="21">
        <f t="shared" si="1"/>
        <v>34312.846370265979</v>
      </c>
      <c r="I16" s="81">
        <f t="shared" si="2"/>
        <v>68.051025000059056</v>
      </c>
      <c r="K16" t="s">
        <v>22</v>
      </c>
      <c r="L16">
        <v>-0.12649383130156819</v>
      </c>
    </row>
    <row r="17" spans="2:19" x14ac:dyDescent="0.25">
      <c r="B17" s="25"/>
      <c r="C17" s="25"/>
      <c r="D17" s="25"/>
      <c r="E17" s="25"/>
      <c r="F17" s="25"/>
      <c r="G17" s="25"/>
      <c r="H17" s="25"/>
      <c r="I17" s="25"/>
      <c r="K17" t="s">
        <v>23</v>
      </c>
      <c r="L17">
        <v>3157.3698108484159</v>
      </c>
    </row>
    <row r="18" spans="2:19" ht="15.75" thickBot="1" x14ac:dyDescent="0.3">
      <c r="B18" s="25"/>
      <c r="C18" s="25"/>
      <c r="D18" s="25"/>
      <c r="E18" s="25"/>
      <c r="F18" s="25"/>
      <c r="G18" s="25"/>
      <c r="H18" s="25"/>
      <c r="I18" s="25"/>
      <c r="K18" s="8" t="s">
        <v>24</v>
      </c>
      <c r="L18" s="8">
        <v>6</v>
      </c>
    </row>
    <row r="19" spans="2:19" x14ac:dyDescent="0.25">
      <c r="B19" s="42" t="s">
        <v>9</v>
      </c>
    </row>
    <row r="20" spans="2:19" ht="15.75" thickBot="1" x14ac:dyDescent="0.3">
      <c r="K20" t="s">
        <v>25</v>
      </c>
    </row>
    <row r="21" spans="2:19" x14ac:dyDescent="0.25">
      <c r="K21" s="9"/>
      <c r="L21" s="9" t="s">
        <v>30</v>
      </c>
      <c r="M21" s="9" t="s">
        <v>31</v>
      </c>
      <c r="N21" s="9" t="s">
        <v>32</v>
      </c>
      <c r="O21" s="9" t="s">
        <v>33</v>
      </c>
      <c r="P21" s="9" t="s">
        <v>34</v>
      </c>
    </row>
    <row r="22" spans="2:19" x14ac:dyDescent="0.25">
      <c r="D22"/>
      <c r="E22"/>
      <c r="F22"/>
      <c r="G22"/>
      <c r="H22"/>
      <c r="I22"/>
      <c r="K22" t="s">
        <v>26</v>
      </c>
      <c r="L22">
        <v>1</v>
      </c>
      <c r="M22">
        <v>4371905.1114823222</v>
      </c>
      <c r="N22">
        <v>4371905.1114823222</v>
      </c>
      <c r="O22">
        <v>0.4385507146745079</v>
      </c>
      <c r="P22">
        <v>0.54403001787627858</v>
      </c>
    </row>
    <row r="23" spans="2:19" ht="15.75" thickBot="1" x14ac:dyDescent="0.3">
      <c r="D23"/>
      <c r="E23"/>
      <c r="F23"/>
      <c r="G23"/>
      <c r="H23"/>
      <c r="I23"/>
      <c r="K23" t="s">
        <v>27</v>
      </c>
      <c r="L23">
        <v>4</v>
      </c>
      <c r="M23">
        <v>39875936.489827842</v>
      </c>
      <c r="N23">
        <v>9968984.1224569604</v>
      </c>
    </row>
    <row r="24" spans="2:19" ht="15.75" thickBot="1" x14ac:dyDescent="0.3">
      <c r="D24" s="10"/>
      <c r="E24" s="10"/>
      <c r="F24"/>
      <c r="G24"/>
      <c r="H24"/>
      <c r="I24"/>
      <c r="K24" s="8" t="s">
        <v>28</v>
      </c>
      <c r="L24" s="8">
        <v>5</v>
      </c>
      <c r="M24" s="8">
        <v>44247841.601310164</v>
      </c>
      <c r="N24" s="8"/>
      <c r="O24" s="8"/>
      <c r="P24" s="8"/>
    </row>
    <row r="25" spans="2:19" ht="15.75" thickBot="1" x14ac:dyDescent="0.3">
      <c r="D25"/>
      <c r="E25"/>
      <c r="F25"/>
      <c r="G25"/>
      <c r="H25"/>
      <c r="I25"/>
    </row>
    <row r="26" spans="2:19" x14ac:dyDescent="0.25">
      <c r="D26"/>
      <c r="E26"/>
      <c r="F26"/>
      <c r="G26"/>
      <c r="H26"/>
      <c r="I26"/>
      <c r="K26" s="9"/>
      <c r="L26" s="9" t="s">
        <v>35</v>
      </c>
      <c r="M26" s="9" t="s">
        <v>23</v>
      </c>
      <c r="N26" s="9" t="s">
        <v>36</v>
      </c>
      <c r="O26" s="9" t="s">
        <v>37</v>
      </c>
      <c r="P26" s="9" t="s">
        <v>38</v>
      </c>
      <c r="Q26" s="9" t="s">
        <v>39</v>
      </c>
      <c r="R26" s="9" t="s">
        <v>40</v>
      </c>
      <c r="S26" s="9" t="s">
        <v>41</v>
      </c>
    </row>
    <row r="27" spans="2:19" x14ac:dyDescent="0.25">
      <c r="D27"/>
      <c r="E27"/>
      <c r="F27"/>
      <c r="G27"/>
      <c r="H27"/>
      <c r="I27"/>
      <c r="K27" t="s">
        <v>29</v>
      </c>
      <c r="L27">
        <v>24263.207328844306</v>
      </c>
      <c r="M27">
        <v>9309.5744629833753</v>
      </c>
      <c r="N27">
        <v>2.6062638443163428</v>
      </c>
      <c r="O27">
        <v>5.9653783957135963E-2</v>
      </c>
      <c r="P27">
        <v>-1584.3151203802627</v>
      </c>
      <c r="Q27">
        <v>50110.729778068875</v>
      </c>
      <c r="R27">
        <v>-1584.3151203802627</v>
      </c>
      <c r="S27">
        <v>50110.729778068875</v>
      </c>
    </row>
    <row r="28" spans="2:19" ht="15.75" thickBot="1" x14ac:dyDescent="0.3">
      <c r="D28"/>
      <c r="E28"/>
      <c r="F28"/>
      <c r="G28"/>
      <c r="H28"/>
      <c r="I28"/>
      <c r="K28" s="8" t="s">
        <v>42</v>
      </c>
      <c r="L28" s="8">
        <v>5.6841849781796815E-3</v>
      </c>
      <c r="M28" s="8">
        <v>8.5833790345916511E-3</v>
      </c>
      <c r="N28" s="8">
        <v>0.66223161709065814</v>
      </c>
      <c r="O28" s="8">
        <v>0.54403001787627858</v>
      </c>
      <c r="P28" s="8">
        <v>-1.8147095728469669E-2</v>
      </c>
      <c r="Q28" s="8">
        <v>2.9515465684829031E-2</v>
      </c>
      <c r="R28" s="8">
        <v>-1.8147095728469669E-2</v>
      </c>
      <c r="S28" s="8">
        <v>2.9515465684829031E-2</v>
      </c>
    </row>
    <row r="29" spans="2:19" x14ac:dyDescent="0.25">
      <c r="D29" t="s">
        <v>18</v>
      </c>
      <c r="E29"/>
      <c r="F29"/>
      <c r="G29"/>
      <c r="H29"/>
      <c r="I29"/>
    </row>
    <row r="30" spans="2:19" ht="15.75" thickBot="1" x14ac:dyDescent="0.3">
      <c r="D30"/>
      <c r="E30"/>
      <c r="F30"/>
      <c r="G30"/>
      <c r="H30"/>
      <c r="I30"/>
    </row>
    <row r="31" spans="2:19" x14ac:dyDescent="0.25">
      <c r="D31" s="10" t="s">
        <v>19</v>
      </c>
      <c r="E31" s="10"/>
      <c r="F31"/>
      <c r="G31"/>
      <c r="H31"/>
      <c r="I31"/>
    </row>
    <row r="32" spans="2:19" x14ac:dyDescent="0.25">
      <c r="D32" t="s">
        <v>20</v>
      </c>
      <c r="E32">
        <v>0.88213812181651474</v>
      </c>
      <c r="F32"/>
      <c r="G32"/>
      <c r="H32"/>
      <c r="I32"/>
    </row>
    <row r="33" spans="4:12" x14ac:dyDescent="0.25">
      <c r="D33" t="s">
        <v>21</v>
      </c>
      <c r="E33">
        <v>0.77816766596196818</v>
      </c>
      <c r="F33"/>
      <c r="G33"/>
      <c r="H33"/>
      <c r="I33"/>
    </row>
    <row r="34" spans="4:12" x14ac:dyDescent="0.25">
      <c r="D34" t="s">
        <v>22</v>
      </c>
      <c r="E34">
        <v>0.63027944326994689</v>
      </c>
      <c r="F34"/>
      <c r="G34"/>
      <c r="H34"/>
      <c r="I34"/>
    </row>
    <row r="35" spans="4:12" x14ac:dyDescent="0.25">
      <c r="D35" t="s">
        <v>23</v>
      </c>
      <c r="E35">
        <v>4.598697189961416</v>
      </c>
      <c r="F35"/>
      <c r="G35"/>
      <c r="H35"/>
      <c r="I35"/>
    </row>
    <row r="36" spans="4:12" ht="15.75" thickBot="1" x14ac:dyDescent="0.3">
      <c r="D36" s="8" t="s">
        <v>24</v>
      </c>
      <c r="E36" s="8">
        <v>6</v>
      </c>
      <c r="F36"/>
      <c r="G36"/>
      <c r="H36"/>
      <c r="I36"/>
    </row>
    <row r="37" spans="4:12" x14ac:dyDescent="0.25">
      <c r="D37"/>
      <c r="E37"/>
      <c r="F37"/>
      <c r="G37"/>
      <c r="H37"/>
      <c r="I37"/>
    </row>
    <row r="38" spans="4:12" ht="15.75" thickBot="1" x14ac:dyDescent="0.3">
      <c r="D38" t="s">
        <v>25</v>
      </c>
      <c r="E38"/>
      <c r="F38"/>
      <c r="G38"/>
      <c r="H38"/>
      <c r="I38"/>
    </row>
    <row r="39" spans="4:12" x14ac:dyDescent="0.25">
      <c r="D39" s="9"/>
      <c r="E39" s="9" t="s">
        <v>30</v>
      </c>
      <c r="F39" s="9" t="s">
        <v>31</v>
      </c>
      <c r="G39" s="9" t="s">
        <v>32</v>
      </c>
      <c r="H39" s="9" t="s">
        <v>33</v>
      </c>
      <c r="I39" s="9" t="s">
        <v>34</v>
      </c>
    </row>
    <row r="40" spans="4:12" x14ac:dyDescent="0.25">
      <c r="D40" t="s">
        <v>26</v>
      </c>
      <c r="E40">
        <v>2</v>
      </c>
      <c r="F40">
        <v>222.55595246512291</v>
      </c>
      <c r="G40">
        <v>111.27797623256146</v>
      </c>
      <c r="H40">
        <v>5.2618636683633087</v>
      </c>
      <c r="I40">
        <v>0.1044809885576619</v>
      </c>
    </row>
    <row r="41" spans="4:12" x14ac:dyDescent="0.25">
      <c r="D41" t="s">
        <v>27</v>
      </c>
      <c r="E41">
        <v>3</v>
      </c>
      <c r="F41">
        <v>63.444047534877072</v>
      </c>
      <c r="G41">
        <v>21.148015844959023</v>
      </c>
      <c r="H41"/>
      <c r="I41"/>
    </row>
    <row r="42" spans="4:12" ht="15.75" thickBot="1" x14ac:dyDescent="0.3">
      <c r="D42" s="8" t="s">
        <v>28</v>
      </c>
      <c r="E42" s="8">
        <v>5</v>
      </c>
      <c r="F42" s="8">
        <v>286</v>
      </c>
      <c r="G42" s="8"/>
      <c r="H42" s="8"/>
      <c r="I42" s="8"/>
    </row>
    <row r="43" spans="4:12" ht="15.75" thickBot="1" x14ac:dyDescent="0.3">
      <c r="D43"/>
      <c r="E43"/>
      <c r="F43"/>
      <c r="G43"/>
      <c r="H43"/>
      <c r="I43"/>
    </row>
    <row r="44" spans="4:12" x14ac:dyDescent="0.25">
      <c r="D44" s="9"/>
      <c r="E44" s="9" t="s">
        <v>35</v>
      </c>
      <c r="F44" s="9" t="s">
        <v>23</v>
      </c>
      <c r="G44" s="9" t="s">
        <v>36</v>
      </c>
      <c r="H44" s="9" t="s">
        <v>37</v>
      </c>
      <c r="I44" s="9" t="s">
        <v>38</v>
      </c>
      <c r="J44" s="9" t="s">
        <v>39</v>
      </c>
      <c r="K44" s="9" t="s">
        <v>40</v>
      </c>
      <c r="L44" s="9" t="s">
        <v>41</v>
      </c>
    </row>
    <row r="45" spans="4:12" x14ac:dyDescent="0.25">
      <c r="D45" t="s">
        <v>29</v>
      </c>
      <c r="E45">
        <v>-7.9628554384183401</v>
      </c>
      <c r="F45">
        <v>22.272679223538418</v>
      </c>
      <c r="G45">
        <v>-0.35751672973420107</v>
      </c>
      <c r="H45">
        <v>0.74437743784095878</v>
      </c>
      <c r="I45">
        <v>-78.844461142137419</v>
      </c>
      <c r="J45">
        <v>62.918750265300737</v>
      </c>
      <c r="K45">
        <v>-78.844461142137419</v>
      </c>
      <c r="L45">
        <v>62.918750265300737</v>
      </c>
    </row>
    <row r="46" spans="4:12" x14ac:dyDescent="0.25">
      <c r="D46" t="s">
        <v>42</v>
      </c>
      <c r="E46">
        <v>3.9365857084185776E-5</v>
      </c>
      <c r="F46">
        <v>1.3169165330771785E-5</v>
      </c>
      <c r="G46">
        <v>2.989244655635189</v>
      </c>
      <c r="H46">
        <v>5.8165698466016283E-2</v>
      </c>
      <c r="I46">
        <v>-2.5443044663992103E-6</v>
      </c>
      <c r="J46">
        <v>8.1276018634770755E-5</v>
      </c>
      <c r="K46">
        <v>-2.5443044663992103E-6</v>
      </c>
      <c r="L46">
        <v>8.1276018634770755E-5</v>
      </c>
    </row>
    <row r="47" spans="4:12" ht="15.75" thickBot="1" x14ac:dyDescent="0.3">
      <c r="D47" s="8" t="s">
        <v>43</v>
      </c>
      <c r="E47" s="8">
        <v>1.8695753317614415E-4</v>
      </c>
      <c r="F47" s="8">
        <v>7.2824810925865239E-4</v>
      </c>
      <c r="G47" s="8">
        <v>0.25672230493871739</v>
      </c>
      <c r="H47" s="8">
        <v>0.81399250624135577</v>
      </c>
      <c r="I47" s="8">
        <v>-2.1306529714639013E-3</v>
      </c>
      <c r="J47" s="8">
        <v>2.5045680378161894E-3</v>
      </c>
      <c r="K47" s="8">
        <v>-2.1306529714639013E-3</v>
      </c>
      <c r="L47" s="8">
        <v>2.5045680378161894E-3</v>
      </c>
    </row>
    <row r="48" spans="4:12" x14ac:dyDescent="0.25">
      <c r="D48"/>
      <c r="E48"/>
      <c r="F48"/>
      <c r="G48"/>
      <c r="H48"/>
      <c r="I48"/>
    </row>
    <row r="49" spans="4:9" x14ac:dyDescent="0.25">
      <c r="D49"/>
      <c r="E49"/>
      <c r="F49"/>
      <c r="G49"/>
      <c r="H49"/>
      <c r="I49"/>
    </row>
    <row r="50" spans="4:9" x14ac:dyDescent="0.25">
      <c r="D50"/>
      <c r="E50"/>
      <c r="F50"/>
      <c r="G50"/>
      <c r="H50"/>
      <c r="I5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9"/>
  <sheetViews>
    <sheetView zoomScale="90" zoomScaleNormal="90" workbookViewId="0">
      <selection activeCell="I16" sqref="I16"/>
    </sheetView>
  </sheetViews>
  <sheetFormatPr defaultRowHeight="15" x14ac:dyDescent="0.25"/>
  <cols>
    <col min="2" max="2" width="9.140625" style="25"/>
    <col min="3" max="3" width="15.42578125" style="25" customWidth="1"/>
    <col min="4" max="4" width="26.140625" style="42" customWidth="1"/>
    <col min="5" max="6" width="9.140625" style="42" customWidth="1"/>
    <col min="7" max="7" width="24.42578125" style="25" customWidth="1"/>
    <col min="8" max="8" width="15.7109375" style="43" customWidth="1"/>
    <col min="9" max="9" width="9.140625" style="43"/>
  </cols>
  <sheetData>
    <row r="2" spans="2:12" ht="60" x14ac:dyDescent="0.25">
      <c r="B2" s="19" t="s">
        <v>0</v>
      </c>
      <c r="C2" s="3" t="s">
        <v>47</v>
      </c>
      <c r="D2" s="19" t="s">
        <v>2</v>
      </c>
      <c r="E2" s="19" t="s">
        <v>16</v>
      </c>
      <c r="F2" s="15" t="s">
        <v>17</v>
      </c>
      <c r="G2" s="3" t="s">
        <v>47</v>
      </c>
      <c r="H2" s="28" t="s">
        <v>44</v>
      </c>
      <c r="I2" s="2" t="s">
        <v>45</v>
      </c>
    </row>
    <row r="3" spans="2:12" ht="15.75" x14ac:dyDescent="0.25">
      <c r="B3" s="19">
        <v>2015</v>
      </c>
      <c r="C3" s="26">
        <v>872584</v>
      </c>
      <c r="D3" s="50">
        <v>1429.4</v>
      </c>
      <c r="E3" s="45">
        <v>28318</v>
      </c>
      <c r="F3" s="19">
        <v>1.9</v>
      </c>
      <c r="G3" s="26">
        <v>872584</v>
      </c>
      <c r="H3" s="84">
        <f>(D3+E3)+(G3*0.019)</f>
        <v>46326.495999999999</v>
      </c>
      <c r="I3" s="15">
        <v>64</v>
      </c>
    </row>
    <row r="4" spans="2:12" ht="15.75" x14ac:dyDescent="0.25">
      <c r="B4" s="19">
        <v>2016</v>
      </c>
      <c r="C4" s="4">
        <v>972692</v>
      </c>
      <c r="D4" s="53">
        <v>1363.5</v>
      </c>
      <c r="E4" s="45">
        <v>28455</v>
      </c>
      <c r="F4" s="19">
        <v>1.9</v>
      </c>
      <c r="G4" s="4">
        <v>972692</v>
      </c>
      <c r="H4" s="84">
        <f t="shared" ref="H4:H8" si="0">(D4+E4)+(G4*0.019)</f>
        <v>48299.648000000001</v>
      </c>
      <c r="I4" s="15">
        <v>78</v>
      </c>
    </row>
    <row r="5" spans="2:12" ht="15.75" x14ac:dyDescent="0.25">
      <c r="B5" s="19">
        <v>2017</v>
      </c>
      <c r="C5" s="4">
        <v>1030577</v>
      </c>
      <c r="D5" s="50">
        <v>1275.5999999999999</v>
      </c>
      <c r="E5" s="45">
        <v>31431</v>
      </c>
      <c r="F5" s="19">
        <v>1.9</v>
      </c>
      <c r="G5" s="4">
        <v>1030577</v>
      </c>
      <c r="H5" s="84">
        <f t="shared" si="0"/>
        <v>52287.562999999995</v>
      </c>
      <c r="I5" s="15">
        <v>73</v>
      </c>
    </row>
    <row r="6" spans="2:12" ht="15.75" x14ac:dyDescent="0.25">
      <c r="B6" s="19">
        <v>2018</v>
      </c>
      <c r="C6" s="47">
        <v>1078384</v>
      </c>
      <c r="D6" s="50">
        <v>1466.1</v>
      </c>
      <c r="E6" s="45">
        <v>29168</v>
      </c>
      <c r="F6" s="19">
        <v>1.9</v>
      </c>
      <c r="G6" s="47">
        <v>1078384</v>
      </c>
      <c r="H6" s="84">
        <f t="shared" si="0"/>
        <v>51123.395999999993</v>
      </c>
      <c r="I6" s="15">
        <v>69</v>
      </c>
    </row>
    <row r="7" spans="2:12" ht="15.75" x14ac:dyDescent="0.25">
      <c r="B7" s="19">
        <v>2019</v>
      </c>
      <c r="C7" s="13">
        <v>1136156</v>
      </c>
      <c r="D7" s="50">
        <v>1696.1</v>
      </c>
      <c r="E7" s="45">
        <v>38805</v>
      </c>
      <c r="F7" s="19">
        <v>1.9</v>
      </c>
      <c r="G7" s="13">
        <v>1136156</v>
      </c>
      <c r="H7" s="84">
        <f t="shared" si="0"/>
        <v>62088.063999999998</v>
      </c>
      <c r="I7" s="15">
        <v>67</v>
      </c>
    </row>
    <row r="8" spans="2:12" ht="15.75" x14ac:dyDescent="0.25">
      <c r="B8" s="19">
        <v>2022</v>
      </c>
      <c r="C8" s="14">
        <v>1354556</v>
      </c>
      <c r="D8" s="54">
        <v>2157.5</v>
      </c>
      <c r="E8" s="45">
        <v>59306</v>
      </c>
      <c r="F8" s="19">
        <v>1.9</v>
      </c>
      <c r="G8" s="14">
        <v>1354556</v>
      </c>
      <c r="H8" s="84">
        <f t="shared" si="0"/>
        <v>87200.063999999998</v>
      </c>
      <c r="I8" s="15">
        <v>102</v>
      </c>
      <c r="K8" t="s">
        <v>18</v>
      </c>
    </row>
    <row r="9" spans="2:12" ht="15.75" thickBot="1" x14ac:dyDescent="0.3">
      <c r="B9" s="20">
        <v>2023</v>
      </c>
      <c r="C9" s="12">
        <v>1379000</v>
      </c>
      <c r="D9" s="12"/>
      <c r="E9" s="12"/>
      <c r="F9" s="12"/>
      <c r="G9" s="12">
        <v>1379000</v>
      </c>
      <c r="H9" s="29">
        <f>$L$24+$L$25*G9</f>
        <v>84918.439280708932</v>
      </c>
      <c r="I9" s="85">
        <f>$C$44+$C$45*G9+$C$46*H9</f>
        <v>95.887502865230644</v>
      </c>
    </row>
    <row r="10" spans="2:12" x14ac:dyDescent="0.25">
      <c r="B10" s="20">
        <v>2024</v>
      </c>
      <c r="C10" s="12">
        <v>1434000</v>
      </c>
      <c r="D10" s="12"/>
      <c r="E10" s="12"/>
      <c r="F10" s="12"/>
      <c r="G10" s="12">
        <v>1434000</v>
      </c>
      <c r="H10" s="29">
        <f t="shared" ref="H10:H16" si="1">$L$24+$L$25*G10</f>
        <v>89795.393098636327</v>
      </c>
      <c r="I10" s="85">
        <f t="shared" ref="I10:I16" si="2">$C$44+$C$45*G10+$C$46*H10</f>
        <v>99.565845320157322</v>
      </c>
      <c r="K10" s="10" t="s">
        <v>19</v>
      </c>
      <c r="L10" s="10"/>
    </row>
    <row r="11" spans="2:12" x14ac:dyDescent="0.25">
      <c r="B11" s="20">
        <v>2025</v>
      </c>
      <c r="C11" s="12">
        <v>1490000</v>
      </c>
      <c r="D11" s="12"/>
      <c r="E11" s="12"/>
      <c r="F11" s="12"/>
      <c r="G11" s="12">
        <v>1490000</v>
      </c>
      <c r="H11" s="29">
        <f t="shared" si="1"/>
        <v>94761.018804162421</v>
      </c>
      <c r="I11" s="85">
        <f t="shared" si="2"/>
        <v>103.31106672880996</v>
      </c>
      <c r="K11" t="s">
        <v>20</v>
      </c>
      <c r="L11">
        <v>0.94971163645045731</v>
      </c>
    </row>
    <row r="12" spans="2:12" x14ac:dyDescent="0.25">
      <c r="B12" s="20">
        <v>2026</v>
      </c>
      <c r="C12" s="12">
        <v>1545000</v>
      </c>
      <c r="D12" s="12"/>
      <c r="E12" s="12"/>
      <c r="F12" s="12"/>
      <c r="G12" s="12">
        <v>1545000</v>
      </c>
      <c r="H12" s="29">
        <f t="shared" si="1"/>
        <v>99637.972622089816</v>
      </c>
      <c r="I12" s="85">
        <f t="shared" si="2"/>
        <v>106.98940918373663</v>
      </c>
      <c r="K12" t="s">
        <v>21</v>
      </c>
      <c r="L12">
        <v>0.9019521924094055</v>
      </c>
    </row>
    <row r="13" spans="2:12" x14ac:dyDescent="0.25">
      <c r="B13" s="20">
        <v>2027</v>
      </c>
      <c r="C13" s="12">
        <v>1601000</v>
      </c>
      <c r="D13" s="12"/>
      <c r="E13" s="12"/>
      <c r="F13" s="12"/>
      <c r="G13" s="12">
        <v>1601000</v>
      </c>
      <c r="H13" s="29">
        <f t="shared" si="1"/>
        <v>104603.59832761591</v>
      </c>
      <c r="I13" s="85">
        <f t="shared" si="2"/>
        <v>110.73463059238927</v>
      </c>
      <c r="K13" t="s">
        <v>22</v>
      </c>
      <c r="L13">
        <v>0.87744024051175695</v>
      </c>
    </row>
    <row r="14" spans="2:12" x14ac:dyDescent="0.25">
      <c r="B14" s="20">
        <v>2028</v>
      </c>
      <c r="C14" s="12">
        <v>1656000</v>
      </c>
      <c r="D14" s="12"/>
      <c r="E14" s="12"/>
      <c r="F14" s="12"/>
      <c r="G14" s="12">
        <v>1656000</v>
      </c>
      <c r="H14" s="29">
        <f t="shared" si="1"/>
        <v>109480.55214554333</v>
      </c>
      <c r="I14" s="85">
        <f t="shared" si="2"/>
        <v>114.41297304731596</v>
      </c>
      <c r="K14" t="s">
        <v>23</v>
      </c>
      <c r="L14">
        <v>5377.1271148746846</v>
      </c>
    </row>
    <row r="15" spans="2:12" ht="15.75" thickBot="1" x14ac:dyDescent="0.3">
      <c r="B15" s="20">
        <v>2029</v>
      </c>
      <c r="C15" s="12">
        <v>1712000</v>
      </c>
      <c r="D15" s="12"/>
      <c r="E15" s="12"/>
      <c r="F15" s="12"/>
      <c r="G15" s="12">
        <v>1712000</v>
      </c>
      <c r="H15" s="29">
        <f t="shared" si="1"/>
        <v>114446.17785106943</v>
      </c>
      <c r="I15" s="85">
        <f t="shared" si="2"/>
        <v>118.15819445596858</v>
      </c>
      <c r="K15" s="8" t="s">
        <v>24</v>
      </c>
      <c r="L15" s="8">
        <v>6</v>
      </c>
    </row>
    <row r="16" spans="2:12" x14ac:dyDescent="0.25">
      <c r="B16" s="20">
        <v>2030</v>
      </c>
      <c r="C16" s="12">
        <v>1768000</v>
      </c>
      <c r="D16" s="12"/>
      <c r="E16" s="12"/>
      <c r="F16" s="12"/>
      <c r="G16" s="12">
        <v>1768000</v>
      </c>
      <c r="H16" s="29">
        <f t="shared" si="1"/>
        <v>119411.80355659549</v>
      </c>
      <c r="I16" s="85">
        <f t="shared" si="2"/>
        <v>121.90341586462119</v>
      </c>
    </row>
    <row r="17" spans="2:19" ht="15.75" thickBot="1" x14ac:dyDescent="0.3">
      <c r="B17" s="20"/>
      <c r="C17" s="20"/>
      <c r="D17" s="12"/>
      <c r="E17" s="12"/>
      <c r="F17" s="12"/>
      <c r="G17" s="20"/>
      <c r="H17" s="29"/>
      <c r="I17" s="29"/>
      <c r="K17" t="s">
        <v>25</v>
      </c>
    </row>
    <row r="18" spans="2:19" x14ac:dyDescent="0.25">
      <c r="K18" s="9"/>
      <c r="L18" s="9" t="s">
        <v>30</v>
      </c>
      <c r="M18" s="9" t="s">
        <v>31</v>
      </c>
      <c r="N18" s="9" t="s">
        <v>32</v>
      </c>
      <c r="O18" s="9" t="s">
        <v>33</v>
      </c>
      <c r="P18" s="9" t="s">
        <v>34</v>
      </c>
    </row>
    <row r="19" spans="2:19" x14ac:dyDescent="0.25">
      <c r="B19" s="25" t="s">
        <v>8</v>
      </c>
      <c r="K19" t="s">
        <v>26</v>
      </c>
      <c r="L19">
        <v>1</v>
      </c>
      <c r="M19">
        <v>1063913278.9139212</v>
      </c>
      <c r="N19">
        <v>1063913278.9139212</v>
      </c>
      <c r="O19">
        <v>36.796424706427722</v>
      </c>
      <c r="P19">
        <v>3.7297916509212038E-3</v>
      </c>
    </row>
    <row r="20" spans="2:19" x14ac:dyDescent="0.25">
      <c r="K20" t="s">
        <v>27</v>
      </c>
      <c r="L20">
        <v>4</v>
      </c>
      <c r="M20">
        <v>115653984.0380822</v>
      </c>
      <c r="N20">
        <v>28913496.009520549</v>
      </c>
    </row>
    <row r="21" spans="2:19" ht="15.75" thickBot="1" x14ac:dyDescent="0.3">
      <c r="B21"/>
      <c r="C21"/>
      <c r="D21"/>
      <c r="E21"/>
      <c r="F21"/>
      <c r="G21"/>
      <c r="H21"/>
      <c r="K21" s="8" t="s">
        <v>28</v>
      </c>
      <c r="L21" s="8">
        <v>5</v>
      </c>
      <c r="M21" s="8">
        <v>1179567262.9520035</v>
      </c>
      <c r="N21" s="8"/>
      <c r="O21" s="8"/>
      <c r="P21" s="8"/>
    </row>
    <row r="22" spans="2:19" ht="15.75" thickBot="1" x14ac:dyDescent="0.3">
      <c r="B22"/>
      <c r="C22"/>
      <c r="D22"/>
      <c r="E22"/>
      <c r="F22"/>
      <c r="G22"/>
      <c r="H22"/>
    </row>
    <row r="23" spans="2:19" x14ac:dyDescent="0.25">
      <c r="B23" s="10"/>
      <c r="C23" s="10"/>
      <c r="D23"/>
      <c r="E23"/>
      <c r="F23"/>
      <c r="G23"/>
      <c r="H23"/>
      <c r="K23" s="9"/>
      <c r="L23" s="9" t="s">
        <v>35</v>
      </c>
      <c r="M23" s="9" t="s">
        <v>23</v>
      </c>
      <c r="N23" s="9" t="s">
        <v>36</v>
      </c>
      <c r="O23" s="9" t="s">
        <v>37</v>
      </c>
      <c r="P23" s="9" t="s">
        <v>38</v>
      </c>
      <c r="Q23" s="9" t="s">
        <v>39</v>
      </c>
      <c r="R23" s="9" t="s">
        <v>40</v>
      </c>
      <c r="S23" s="9" t="s">
        <v>41</v>
      </c>
    </row>
    <row r="24" spans="2:19" x14ac:dyDescent="0.25">
      <c r="B24"/>
      <c r="C24"/>
      <c r="D24"/>
      <c r="E24"/>
      <c r="F24"/>
      <c r="G24"/>
      <c r="H24"/>
      <c r="K24" t="s">
        <v>29</v>
      </c>
      <c r="L24">
        <v>-37360.093717871023</v>
      </c>
      <c r="M24">
        <v>15854.577788403434</v>
      </c>
      <c r="N24">
        <v>-2.3564231237489932</v>
      </c>
      <c r="O24">
        <v>7.7966613802425547E-2</v>
      </c>
      <c r="P24">
        <v>-81379.458613461393</v>
      </c>
      <c r="Q24">
        <v>6659.2711777193472</v>
      </c>
      <c r="R24">
        <v>-81379.458613461393</v>
      </c>
      <c r="S24">
        <v>6659.2711777193472</v>
      </c>
    </row>
    <row r="25" spans="2:19" ht="15.75" thickBot="1" x14ac:dyDescent="0.3">
      <c r="B25"/>
      <c r="C25"/>
      <c r="D25"/>
      <c r="E25"/>
      <c r="F25"/>
      <c r="G25"/>
      <c r="H25"/>
      <c r="K25" s="8" t="s">
        <v>42</v>
      </c>
      <c r="L25" s="8">
        <v>8.8671887598680166E-2</v>
      </c>
      <c r="M25" s="8">
        <v>1.4617837918627483E-2</v>
      </c>
      <c r="N25" s="8">
        <v>6.0660056632373625</v>
      </c>
      <c r="O25" s="8">
        <v>3.7297916509211968E-3</v>
      </c>
      <c r="P25" s="8">
        <v>4.8086263060932187E-2</v>
      </c>
      <c r="Q25" s="8">
        <v>0.12925751213642814</v>
      </c>
      <c r="R25" s="8">
        <v>4.8086263060932187E-2</v>
      </c>
      <c r="S25" s="8">
        <v>0.12925751213642814</v>
      </c>
    </row>
    <row r="26" spans="2:19" x14ac:dyDescent="0.25">
      <c r="B26"/>
      <c r="C26"/>
      <c r="D26"/>
      <c r="E26"/>
      <c r="F26"/>
      <c r="G26"/>
      <c r="H26"/>
    </row>
    <row r="27" spans="2:19" x14ac:dyDescent="0.25">
      <c r="B27"/>
      <c r="C27"/>
      <c r="D27"/>
      <c r="E27"/>
      <c r="F27"/>
      <c r="G27"/>
      <c r="H27"/>
    </row>
    <row r="28" spans="2:19" x14ac:dyDescent="0.25">
      <c r="B28" t="s">
        <v>18</v>
      </c>
      <c r="C28"/>
      <c r="D28"/>
      <c r="E28"/>
      <c r="F28"/>
      <c r="G28"/>
      <c r="H28"/>
      <c r="I28"/>
    </row>
    <row r="29" spans="2:19" ht="15.75" thickBot="1" x14ac:dyDescent="0.3">
      <c r="B29"/>
      <c r="C29"/>
      <c r="D29"/>
      <c r="E29"/>
      <c r="F29"/>
      <c r="G29"/>
      <c r="H29"/>
      <c r="I29"/>
    </row>
    <row r="30" spans="2:19" x14ac:dyDescent="0.25">
      <c r="B30" s="10" t="s">
        <v>19</v>
      </c>
      <c r="C30" s="10"/>
      <c r="D30"/>
      <c r="E30"/>
      <c r="F30"/>
      <c r="G30"/>
      <c r="H30"/>
      <c r="I30"/>
    </row>
    <row r="31" spans="2:19" x14ac:dyDescent="0.25">
      <c r="B31" t="s">
        <v>20</v>
      </c>
      <c r="C31">
        <v>0.8542360533268043</v>
      </c>
      <c r="D31"/>
      <c r="E31"/>
      <c r="F31"/>
      <c r="G31"/>
      <c r="H31"/>
      <c r="I31"/>
    </row>
    <row r="32" spans="2:19" x14ac:dyDescent="0.25">
      <c r="B32" t="s">
        <v>21</v>
      </c>
      <c r="C32">
        <v>0.72971923480335477</v>
      </c>
      <c r="D32"/>
      <c r="E32"/>
      <c r="F32"/>
      <c r="G32"/>
      <c r="H32"/>
      <c r="I32"/>
    </row>
    <row r="33" spans="2:19" ht="15.75" thickBot="1" x14ac:dyDescent="0.3">
      <c r="B33" t="s">
        <v>22</v>
      </c>
      <c r="C33">
        <v>0.54953205800559124</v>
      </c>
      <c r="D33"/>
      <c r="E33"/>
      <c r="F33"/>
      <c r="G33"/>
      <c r="H33"/>
      <c r="I33"/>
      <c r="K33" s="8"/>
      <c r="L33" s="8"/>
    </row>
    <row r="34" spans="2:19" x14ac:dyDescent="0.25">
      <c r="B34" t="s">
        <v>23</v>
      </c>
      <c r="C34">
        <v>9.3072544418601133</v>
      </c>
      <c r="D34"/>
      <c r="E34"/>
      <c r="F34"/>
      <c r="G34"/>
      <c r="H34"/>
      <c r="I34"/>
    </row>
    <row r="35" spans="2:19" ht="15.75" thickBot="1" x14ac:dyDescent="0.3">
      <c r="B35" s="8" t="s">
        <v>24</v>
      </c>
      <c r="C35" s="8">
        <v>6</v>
      </c>
      <c r="D35"/>
      <c r="E35"/>
      <c r="F35"/>
      <c r="G35"/>
      <c r="H35"/>
      <c r="I35"/>
    </row>
    <row r="36" spans="2:19" x14ac:dyDescent="0.25">
      <c r="B36"/>
      <c r="C36"/>
      <c r="D36"/>
      <c r="E36"/>
      <c r="F36"/>
      <c r="G36"/>
      <c r="H36"/>
      <c r="I36"/>
      <c r="K36" s="9"/>
      <c r="L36" s="9"/>
      <c r="M36" s="9"/>
      <c r="N36" s="9"/>
      <c r="O36" s="9"/>
      <c r="P36" s="9"/>
    </row>
    <row r="37" spans="2:19" ht="15.75" thickBot="1" x14ac:dyDescent="0.3">
      <c r="B37" t="s">
        <v>25</v>
      </c>
      <c r="C37"/>
      <c r="D37"/>
      <c r="E37"/>
      <c r="F37"/>
      <c r="G37"/>
      <c r="H37"/>
      <c r="I37"/>
    </row>
    <row r="38" spans="2:19" x14ac:dyDescent="0.25">
      <c r="B38" s="9"/>
      <c r="C38" s="9" t="s">
        <v>30</v>
      </c>
      <c r="D38" s="9" t="s">
        <v>31</v>
      </c>
      <c r="E38" s="9" t="s">
        <v>32</v>
      </c>
      <c r="F38" s="9" t="s">
        <v>33</v>
      </c>
      <c r="G38" s="9" t="s">
        <v>34</v>
      </c>
      <c r="H38"/>
      <c r="I38"/>
    </row>
    <row r="39" spans="2:19" ht="15.75" thickBot="1" x14ac:dyDescent="0.3">
      <c r="B39" t="s">
        <v>26</v>
      </c>
      <c r="C39">
        <v>2</v>
      </c>
      <c r="D39">
        <v>701.62504426342559</v>
      </c>
      <c r="E39">
        <v>350.8125221317128</v>
      </c>
      <c r="F39">
        <v>4.0497844950552118</v>
      </c>
      <c r="G39">
        <v>0.14051500710673667</v>
      </c>
      <c r="H39"/>
      <c r="I39"/>
      <c r="K39" s="8"/>
      <c r="L39" s="8"/>
      <c r="M39" s="8"/>
      <c r="N39" s="8"/>
      <c r="O39" s="8"/>
      <c r="P39" s="8"/>
    </row>
    <row r="40" spans="2:19" ht="15.75" thickBot="1" x14ac:dyDescent="0.3">
      <c r="B40" t="s">
        <v>27</v>
      </c>
      <c r="C40">
        <v>3</v>
      </c>
      <c r="D40">
        <v>259.87495573657441</v>
      </c>
      <c r="E40">
        <v>86.624985245524798</v>
      </c>
      <c r="F40"/>
      <c r="G40"/>
      <c r="H40"/>
      <c r="I40"/>
    </row>
    <row r="41" spans="2:19" ht="15.75" thickBot="1" x14ac:dyDescent="0.3">
      <c r="B41" s="8" t="s">
        <v>28</v>
      </c>
      <c r="C41" s="8">
        <v>5</v>
      </c>
      <c r="D41" s="8">
        <v>961.5</v>
      </c>
      <c r="E41" s="8"/>
      <c r="F41" s="8"/>
      <c r="G41" s="8"/>
      <c r="H41"/>
      <c r="I41"/>
      <c r="K41" s="9"/>
      <c r="L41" s="9"/>
      <c r="M41" s="9"/>
      <c r="N41" s="9"/>
      <c r="O41" s="9"/>
      <c r="P41" s="9"/>
      <c r="Q41" s="9"/>
      <c r="R41" s="9"/>
      <c r="S41" s="9"/>
    </row>
    <row r="42" spans="2:19" ht="15.75" thickBot="1" x14ac:dyDescent="0.3">
      <c r="B42"/>
      <c r="C42"/>
      <c r="D42"/>
      <c r="E42"/>
      <c r="F42"/>
      <c r="G42"/>
      <c r="H42"/>
      <c r="I42"/>
    </row>
    <row r="43" spans="2:19" x14ac:dyDescent="0.25">
      <c r="B43" s="9"/>
      <c r="C43" s="9" t="s">
        <v>35</v>
      </c>
      <c r="D43" s="9" t="s">
        <v>23</v>
      </c>
      <c r="E43" s="9" t="s">
        <v>36</v>
      </c>
      <c r="F43" s="9" t="s">
        <v>37</v>
      </c>
      <c r="G43" s="9" t="s">
        <v>38</v>
      </c>
      <c r="H43" s="9" t="s">
        <v>39</v>
      </c>
      <c r="I43" s="9" t="s">
        <v>40</v>
      </c>
      <c r="J43" s="9" t="s">
        <v>41</v>
      </c>
    </row>
    <row r="44" spans="2:19" ht="15.75" thickBot="1" x14ac:dyDescent="0.3">
      <c r="B44" t="s">
        <v>29</v>
      </c>
      <c r="C44">
        <v>37.771099285326706</v>
      </c>
      <c r="D44">
        <v>42.409164748177169</v>
      </c>
      <c r="E44">
        <v>0.89063530276083036</v>
      </c>
      <c r="F44">
        <v>0.43873804528334043</v>
      </c>
      <c r="G44">
        <v>-97.193790377677857</v>
      </c>
      <c r="H44">
        <v>172.73598894833125</v>
      </c>
      <c r="I44">
        <v>-97.193790377677857</v>
      </c>
      <c r="J44">
        <v>172.73598894833125</v>
      </c>
      <c r="K44" s="8"/>
      <c r="L44" s="8"/>
      <c r="M44" s="8"/>
      <c r="N44" s="8"/>
      <c r="O44" s="8"/>
      <c r="P44" s="8"/>
      <c r="Q44" s="8"/>
      <c r="R44" s="8"/>
      <c r="S44" s="8"/>
    </row>
    <row r="45" spans="2:19" x14ac:dyDescent="0.25">
      <c r="B45" t="s">
        <v>42</v>
      </c>
      <c r="C45">
        <v>-1.4078261399146001E-5</v>
      </c>
      <c r="D45">
        <v>8.0804487885118299E-5</v>
      </c>
      <c r="E45">
        <v>-0.17422623133459378</v>
      </c>
      <c r="F45">
        <v>0.87278152831337719</v>
      </c>
      <c r="G45">
        <v>-2.7123420531948296E-4</v>
      </c>
      <c r="H45">
        <v>2.4307768252119098E-4</v>
      </c>
      <c r="I45">
        <v>-2.7123420531948296E-4</v>
      </c>
      <c r="J45">
        <v>2.4307768252119098E-4</v>
      </c>
    </row>
    <row r="46" spans="2:19" ht="15.75" thickBot="1" x14ac:dyDescent="0.3">
      <c r="B46" s="8" t="s">
        <v>43</v>
      </c>
      <c r="C46" s="8">
        <v>9.1299753865046573E-4</v>
      </c>
      <c r="D46" s="8">
        <v>8.6544861624282261E-4</v>
      </c>
      <c r="E46" s="8">
        <v>1.0549413581756795</v>
      </c>
      <c r="F46" s="8">
        <v>0.36890229110357192</v>
      </c>
      <c r="G46" s="8">
        <v>-1.8412462125244034E-3</v>
      </c>
      <c r="H46" s="8">
        <v>3.6672412898253351E-3</v>
      </c>
      <c r="I46" s="8">
        <v>-1.8412462125244034E-3</v>
      </c>
      <c r="J46" s="8">
        <v>3.6672412898253351E-3</v>
      </c>
    </row>
    <row r="47" spans="2:19" x14ac:dyDescent="0.25">
      <c r="B47"/>
      <c r="C47"/>
      <c r="D47"/>
      <c r="E47"/>
      <c r="F47"/>
      <c r="G47"/>
      <c r="H47"/>
      <c r="I47"/>
    </row>
    <row r="48" spans="2:19" x14ac:dyDescent="0.25">
      <c r="B48"/>
      <c r="C48"/>
      <c r="D48"/>
      <c r="E48"/>
      <c r="F48"/>
      <c r="G48"/>
      <c r="H48"/>
      <c r="I48"/>
    </row>
    <row r="49" customForma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6"/>
  <sheetViews>
    <sheetView zoomScale="90" zoomScaleNormal="90" workbookViewId="0">
      <selection activeCell="I17" sqref="I17"/>
    </sheetView>
  </sheetViews>
  <sheetFormatPr defaultRowHeight="15" x14ac:dyDescent="0.25"/>
  <cols>
    <col min="3" max="3" width="12.42578125" customWidth="1"/>
    <col min="4" max="4" width="28.42578125" customWidth="1"/>
    <col min="5" max="6" width="9.140625" customWidth="1"/>
    <col min="7" max="7" width="22" customWidth="1"/>
    <col min="8" max="8" width="15.28515625" customWidth="1"/>
  </cols>
  <sheetData>
    <row r="2" spans="2:12" x14ac:dyDescent="0.25">
      <c r="F2" s="40"/>
      <c r="H2" s="40"/>
      <c r="I2" s="41"/>
    </row>
    <row r="3" spans="2:12" ht="60" x14ac:dyDescent="0.25">
      <c r="B3" s="19" t="s">
        <v>0</v>
      </c>
      <c r="C3" s="3" t="s">
        <v>47</v>
      </c>
      <c r="D3" s="19" t="s">
        <v>2</v>
      </c>
      <c r="E3" s="19" t="s">
        <v>16</v>
      </c>
      <c r="F3" s="20" t="s">
        <v>17</v>
      </c>
      <c r="G3" s="3" t="s">
        <v>47</v>
      </c>
      <c r="H3" s="19" t="s">
        <v>44</v>
      </c>
      <c r="I3" s="2" t="s">
        <v>45</v>
      </c>
    </row>
    <row r="4" spans="2:12" ht="15.75" x14ac:dyDescent="0.25">
      <c r="B4" s="19">
        <v>2015</v>
      </c>
      <c r="C4" s="26">
        <v>872584</v>
      </c>
      <c r="D4" s="51">
        <v>29629.462304000001</v>
      </c>
      <c r="E4" s="45">
        <v>16299</v>
      </c>
      <c r="F4" s="19">
        <v>1.9</v>
      </c>
      <c r="G4" s="26">
        <v>872584</v>
      </c>
      <c r="H4" s="84">
        <f>(D4+E4)+(G4*0.019)</f>
        <v>62507.558304000006</v>
      </c>
      <c r="I4" s="20">
        <v>138</v>
      </c>
    </row>
    <row r="5" spans="2:12" ht="15.75" x14ac:dyDescent="0.25">
      <c r="B5" s="19">
        <v>2016</v>
      </c>
      <c r="C5" s="4">
        <v>972692</v>
      </c>
      <c r="D5" s="51">
        <v>38970.904980000007</v>
      </c>
      <c r="E5" s="45">
        <v>20706</v>
      </c>
      <c r="F5" s="19">
        <v>1.9</v>
      </c>
      <c r="G5" s="4">
        <v>972692</v>
      </c>
      <c r="H5" s="84">
        <f t="shared" ref="H5:H9" si="0">(D5+E5)+(G5*0.019)</f>
        <v>78158.052980000008</v>
      </c>
      <c r="I5" s="20">
        <v>147</v>
      </c>
    </row>
    <row r="6" spans="2:12" ht="15.75" x14ac:dyDescent="0.25">
      <c r="B6" s="19">
        <v>2017</v>
      </c>
      <c r="C6" s="4">
        <v>1030577</v>
      </c>
      <c r="D6" s="51">
        <v>45488.638202999995</v>
      </c>
      <c r="E6" s="45">
        <v>19361</v>
      </c>
      <c r="F6" s="19">
        <v>1.9</v>
      </c>
      <c r="G6" s="4">
        <v>1030577</v>
      </c>
      <c r="H6" s="84">
        <f t="shared" si="0"/>
        <v>84430.601202999998</v>
      </c>
      <c r="I6" s="20">
        <v>146</v>
      </c>
    </row>
    <row r="7" spans="2:12" ht="15.75" x14ac:dyDescent="0.25">
      <c r="B7" s="19">
        <v>2018</v>
      </c>
      <c r="C7" s="47">
        <v>1078384</v>
      </c>
      <c r="D7" s="51">
        <v>40898.791583999999</v>
      </c>
      <c r="E7" s="45">
        <v>22483</v>
      </c>
      <c r="F7" s="19">
        <v>1.9</v>
      </c>
      <c r="G7" s="47">
        <v>1078384</v>
      </c>
      <c r="H7" s="84">
        <f t="shared" si="0"/>
        <v>83871.087583999994</v>
      </c>
      <c r="I7" s="20">
        <v>151</v>
      </c>
    </row>
    <row r="8" spans="2:12" ht="15.75" x14ac:dyDescent="0.25">
      <c r="B8" s="19">
        <v>2019</v>
      </c>
      <c r="C8" s="13">
        <v>1136156</v>
      </c>
      <c r="D8" s="51">
        <v>45982.505632</v>
      </c>
      <c r="E8" s="45">
        <v>20055</v>
      </c>
      <c r="F8" s="19">
        <v>1.9</v>
      </c>
      <c r="G8" s="13">
        <v>1136156</v>
      </c>
      <c r="H8" s="84">
        <f t="shared" si="0"/>
        <v>87624.469631999993</v>
      </c>
      <c r="I8" s="20">
        <v>162</v>
      </c>
    </row>
    <row r="9" spans="2:12" ht="15.75" x14ac:dyDescent="0.25">
      <c r="B9" s="19">
        <v>2022</v>
      </c>
      <c r="C9" s="14">
        <v>1354556</v>
      </c>
      <c r="D9" s="51">
        <v>46535.771379999998</v>
      </c>
      <c r="E9" s="45">
        <v>53352</v>
      </c>
      <c r="F9" s="19">
        <v>1.9</v>
      </c>
      <c r="G9" s="14">
        <v>1354556</v>
      </c>
      <c r="H9" s="84">
        <f t="shared" si="0"/>
        <v>125624.33537999999</v>
      </c>
      <c r="I9" s="20">
        <v>196</v>
      </c>
      <c r="K9" t="s">
        <v>18</v>
      </c>
    </row>
    <row r="10" spans="2:12" ht="15.75" thickBot="1" x14ac:dyDescent="0.3">
      <c r="B10" s="20">
        <v>2023</v>
      </c>
      <c r="C10" s="12">
        <v>1379000</v>
      </c>
      <c r="D10" s="20"/>
      <c r="E10" s="20"/>
      <c r="F10" s="20"/>
      <c r="G10" s="12">
        <v>1379000</v>
      </c>
      <c r="H10" s="21">
        <f>$L$25+$L$26*G10</f>
        <v>124888.76602475098</v>
      </c>
      <c r="I10" s="81">
        <f>$D$44+$D$45*G10+$D$46*H10</f>
        <v>193.93875606116455</v>
      </c>
    </row>
    <row r="11" spans="2:12" x14ac:dyDescent="0.25">
      <c r="B11" s="20">
        <v>2024</v>
      </c>
      <c r="C11" s="12">
        <v>1434000</v>
      </c>
      <c r="D11" s="20"/>
      <c r="E11" s="20"/>
      <c r="F11" s="20"/>
      <c r="G11" s="12">
        <v>1434000</v>
      </c>
      <c r="H11" s="21">
        <f t="shared" ref="H11:H17" si="1">$L$25+$L$26*G11</f>
        <v>131718.21310337418</v>
      </c>
      <c r="I11" s="81">
        <f t="shared" ref="I11:I17" si="2">$D$44+$D$45*G11+$D$46*H11</f>
        <v>200.6634397906966</v>
      </c>
      <c r="K11" s="10" t="s">
        <v>19</v>
      </c>
      <c r="L11" s="10"/>
    </row>
    <row r="12" spans="2:12" x14ac:dyDescent="0.25">
      <c r="B12" s="20">
        <v>2025</v>
      </c>
      <c r="C12" s="12">
        <v>1490000</v>
      </c>
      <c r="D12" s="20"/>
      <c r="E12" s="20"/>
      <c r="F12" s="20"/>
      <c r="G12" s="12">
        <v>1490000</v>
      </c>
      <c r="H12" s="21">
        <f t="shared" si="1"/>
        <v>138671.83194706324</v>
      </c>
      <c r="I12" s="81">
        <f t="shared" si="2"/>
        <v>207.51039049712921</v>
      </c>
      <c r="K12" t="s">
        <v>20</v>
      </c>
      <c r="L12">
        <v>0.97678298355975224</v>
      </c>
    </row>
    <row r="13" spans="2:12" x14ac:dyDescent="0.25">
      <c r="B13" s="20">
        <v>2026</v>
      </c>
      <c r="C13" s="12">
        <v>1545000</v>
      </c>
      <c r="D13" s="20"/>
      <c r="E13" s="20"/>
      <c r="F13" s="20"/>
      <c r="G13" s="12">
        <v>1545000</v>
      </c>
      <c r="H13" s="21">
        <f t="shared" si="1"/>
        <v>145501.27902568644</v>
      </c>
      <c r="I13" s="81">
        <f t="shared" si="2"/>
        <v>214.23507422666125</v>
      </c>
      <c r="K13" t="s">
        <v>21</v>
      </c>
      <c r="L13">
        <v>0.95410499697189122</v>
      </c>
    </row>
    <row r="14" spans="2:12" x14ac:dyDescent="0.25">
      <c r="B14" s="20">
        <v>2027</v>
      </c>
      <c r="C14" s="12">
        <v>1601000</v>
      </c>
      <c r="D14" s="20"/>
      <c r="E14" s="20"/>
      <c r="F14" s="20"/>
      <c r="G14" s="12">
        <v>1601000</v>
      </c>
      <c r="H14" s="21">
        <f t="shared" si="1"/>
        <v>152454.89786937551</v>
      </c>
      <c r="I14" s="81">
        <f t="shared" si="2"/>
        <v>221.08202493309386</v>
      </c>
      <c r="K14" t="s">
        <v>22</v>
      </c>
      <c r="L14">
        <v>0.94263124621486405</v>
      </c>
    </row>
    <row r="15" spans="2:12" x14ac:dyDescent="0.25">
      <c r="B15" s="20">
        <v>2028</v>
      </c>
      <c r="C15" s="12">
        <v>1656000</v>
      </c>
      <c r="D15" s="20"/>
      <c r="E15" s="20"/>
      <c r="F15" s="20"/>
      <c r="G15" s="12">
        <v>1656000</v>
      </c>
      <c r="H15" s="21">
        <f t="shared" si="1"/>
        <v>159284.34494799867</v>
      </c>
      <c r="I15" s="81">
        <f t="shared" si="2"/>
        <v>227.80670866262591</v>
      </c>
      <c r="K15" t="s">
        <v>23</v>
      </c>
      <c r="L15">
        <v>5008.9262375269827</v>
      </c>
    </row>
    <row r="16" spans="2:12" ht="15.75" thickBot="1" x14ac:dyDescent="0.3">
      <c r="B16" s="20">
        <v>2029</v>
      </c>
      <c r="C16" s="12">
        <v>1712000</v>
      </c>
      <c r="D16" s="20"/>
      <c r="E16" s="20"/>
      <c r="F16" s="20"/>
      <c r="G16" s="12">
        <v>1712000</v>
      </c>
      <c r="H16" s="21">
        <f t="shared" si="1"/>
        <v>166237.96379168777</v>
      </c>
      <c r="I16" s="81">
        <f t="shared" si="2"/>
        <v>234.65365936905852</v>
      </c>
      <c r="K16" s="8" t="s">
        <v>24</v>
      </c>
      <c r="L16" s="8">
        <v>6</v>
      </c>
    </row>
    <row r="17" spans="2:19" x14ac:dyDescent="0.25">
      <c r="B17" s="20">
        <v>2030</v>
      </c>
      <c r="C17" s="12">
        <v>1768000</v>
      </c>
      <c r="D17" s="20"/>
      <c r="E17" s="20"/>
      <c r="F17" s="20"/>
      <c r="G17" s="12">
        <v>1768000</v>
      </c>
      <c r="H17" s="21">
        <f t="shared" si="1"/>
        <v>173191.58263537684</v>
      </c>
      <c r="I17" s="81">
        <f t="shared" si="2"/>
        <v>241.50061007549118</v>
      </c>
    </row>
    <row r="18" spans="2:19" ht="15.75" thickBot="1" x14ac:dyDescent="0.3">
      <c r="K18" t="s">
        <v>25</v>
      </c>
    </row>
    <row r="19" spans="2:19" x14ac:dyDescent="0.25">
      <c r="K19" s="9"/>
      <c r="L19" s="9" t="s">
        <v>30</v>
      </c>
      <c r="M19" s="9" t="s">
        <v>31</v>
      </c>
      <c r="N19" s="9" t="s">
        <v>32</v>
      </c>
      <c r="O19" s="9" t="s">
        <v>33</v>
      </c>
      <c r="P19" s="9" t="s">
        <v>34</v>
      </c>
    </row>
    <row r="20" spans="2:19" ht="39" x14ac:dyDescent="0.25">
      <c r="B20" s="5" t="s">
        <v>7</v>
      </c>
      <c r="K20" t="s">
        <v>26</v>
      </c>
      <c r="L20">
        <v>1</v>
      </c>
      <c r="M20">
        <v>2086315724.5097177</v>
      </c>
      <c r="N20">
        <v>2086315724.5097177</v>
      </c>
      <c r="O20">
        <v>83.155457807686801</v>
      </c>
      <c r="P20">
        <v>8.0228744610778163E-4</v>
      </c>
    </row>
    <row r="21" spans="2:19" x14ac:dyDescent="0.25">
      <c r="K21" t="s">
        <v>27</v>
      </c>
      <c r="L21">
        <v>4</v>
      </c>
      <c r="M21">
        <v>100357368.21194488</v>
      </c>
      <c r="N21">
        <v>25089342.05298622</v>
      </c>
    </row>
    <row r="22" spans="2:19" ht="15.75" thickBot="1" x14ac:dyDescent="0.3">
      <c r="K22" s="8" t="s">
        <v>28</v>
      </c>
      <c r="L22" s="8">
        <v>5</v>
      </c>
      <c r="M22" s="8">
        <v>2186673092.7216625</v>
      </c>
      <c r="N22" s="8"/>
      <c r="O22" s="8"/>
      <c r="P22" s="8"/>
    </row>
    <row r="23" spans="2:19" ht="15.75" thickBot="1" x14ac:dyDescent="0.3"/>
    <row r="24" spans="2:19" x14ac:dyDescent="0.25">
      <c r="K24" s="9"/>
      <c r="L24" s="9" t="s">
        <v>35</v>
      </c>
      <c r="M24" s="9" t="s">
        <v>23</v>
      </c>
      <c r="N24" s="9" t="s">
        <v>36</v>
      </c>
      <c r="O24" s="9" t="s">
        <v>37</v>
      </c>
      <c r="P24" s="9" t="s">
        <v>38</v>
      </c>
      <c r="Q24" s="9" t="s">
        <v>39</v>
      </c>
      <c r="R24" s="9" t="s">
        <v>40</v>
      </c>
      <c r="S24" s="9" t="s">
        <v>41</v>
      </c>
    </row>
    <row r="25" spans="2:19" x14ac:dyDescent="0.25">
      <c r="K25" t="s">
        <v>29</v>
      </c>
      <c r="L25">
        <v>-46344.098001092294</v>
      </c>
      <c r="M25">
        <v>14768.929387881368</v>
      </c>
      <c r="N25">
        <v>-3.1379456685005147</v>
      </c>
      <c r="O25">
        <v>3.4916762889470494E-2</v>
      </c>
      <c r="P25">
        <v>-87349.219709087367</v>
      </c>
      <c r="Q25">
        <v>-5338.9762930972283</v>
      </c>
      <c r="R25">
        <v>-87349.219709087367</v>
      </c>
      <c r="S25">
        <v>-5338.9762930972283</v>
      </c>
    </row>
    <row r="26" spans="2:19" ht="15.75" thickBot="1" x14ac:dyDescent="0.3">
      <c r="K26" s="8" t="s">
        <v>42</v>
      </c>
      <c r="L26" s="8">
        <v>0.1241717650658762</v>
      </c>
      <c r="M26" s="8">
        <v>1.3616875763264605E-2</v>
      </c>
      <c r="N26" s="8">
        <v>9.118961443480659</v>
      </c>
      <c r="O26" s="8">
        <v>8.0228744610778011E-4</v>
      </c>
      <c r="P26" s="8">
        <v>8.6365257004873713E-2</v>
      </c>
      <c r="Q26" s="8">
        <v>0.16197827312687868</v>
      </c>
      <c r="R26" s="8">
        <v>8.6365257004873713E-2</v>
      </c>
      <c r="S26" s="8">
        <v>0.16197827312687868</v>
      </c>
    </row>
    <row r="28" spans="2:19" x14ac:dyDescent="0.25">
      <c r="C28" t="s">
        <v>18</v>
      </c>
    </row>
    <row r="29" spans="2:19" ht="15.75" thickBot="1" x14ac:dyDescent="0.3"/>
    <row r="30" spans="2:19" x14ac:dyDescent="0.25">
      <c r="C30" s="10" t="s">
        <v>19</v>
      </c>
      <c r="D30" s="10"/>
    </row>
    <row r="31" spans="2:19" x14ac:dyDescent="0.25">
      <c r="C31" t="s">
        <v>20</v>
      </c>
      <c r="D31">
        <v>0.97442567135639702</v>
      </c>
    </row>
    <row r="32" spans="2:19" x14ac:dyDescent="0.25">
      <c r="C32" t="s">
        <v>21</v>
      </c>
      <c r="D32">
        <v>0.94950538899836512</v>
      </c>
    </row>
    <row r="33" spans="3:19" ht="15.75" thickBot="1" x14ac:dyDescent="0.3">
      <c r="C33" t="s">
        <v>22</v>
      </c>
      <c r="D33">
        <v>0.91584231499727531</v>
      </c>
      <c r="L33" s="8"/>
    </row>
    <row r="34" spans="3:19" x14ac:dyDescent="0.25">
      <c r="C34" t="s">
        <v>23</v>
      </c>
      <c r="D34">
        <v>6.0342543072456163</v>
      </c>
    </row>
    <row r="35" spans="3:19" ht="15.75" thickBot="1" x14ac:dyDescent="0.3">
      <c r="C35" s="8" t="s">
        <v>24</v>
      </c>
      <c r="D35" s="8">
        <v>6</v>
      </c>
    </row>
    <row r="36" spans="3:19" x14ac:dyDescent="0.25">
      <c r="L36" s="9"/>
      <c r="M36" s="9"/>
      <c r="N36" s="9"/>
      <c r="O36" s="9"/>
      <c r="P36" s="9"/>
    </row>
    <row r="37" spans="3:19" ht="15.75" thickBot="1" x14ac:dyDescent="0.3">
      <c r="C37" t="s">
        <v>25</v>
      </c>
    </row>
    <row r="38" spans="3:19" x14ac:dyDescent="0.25">
      <c r="C38" s="9"/>
      <c r="D38" s="9" t="s">
        <v>30</v>
      </c>
      <c r="E38" s="9" t="s">
        <v>31</v>
      </c>
      <c r="F38" s="9" t="s">
        <v>32</v>
      </c>
      <c r="G38" s="9" t="s">
        <v>33</v>
      </c>
      <c r="H38" s="9" t="s">
        <v>34</v>
      </c>
    </row>
    <row r="39" spans="3:19" ht="15.75" thickBot="1" x14ac:dyDescent="0.3">
      <c r="C39" t="s">
        <v>26</v>
      </c>
      <c r="D39">
        <v>2</v>
      </c>
      <c r="E39">
        <v>2054.0966581997964</v>
      </c>
      <c r="F39">
        <v>1027.0483290998982</v>
      </c>
      <c r="G39">
        <v>28.206140323596784</v>
      </c>
      <c r="H39">
        <v>1.1346647060711769E-2</v>
      </c>
      <c r="L39" s="8"/>
      <c r="M39" s="8"/>
      <c r="N39" s="8"/>
      <c r="O39" s="8"/>
      <c r="P39" s="8"/>
    </row>
    <row r="40" spans="3:19" ht="15.75" thickBot="1" x14ac:dyDescent="0.3">
      <c r="C40" t="s">
        <v>27</v>
      </c>
      <c r="D40">
        <v>3</v>
      </c>
      <c r="E40">
        <v>109.23667513353681</v>
      </c>
      <c r="F40">
        <v>36.412225044512269</v>
      </c>
    </row>
    <row r="41" spans="3:19" ht="15.75" thickBot="1" x14ac:dyDescent="0.3">
      <c r="C41" s="8" t="s">
        <v>28</v>
      </c>
      <c r="D41" s="8">
        <v>5</v>
      </c>
      <c r="E41" s="8">
        <v>2163.333333333333</v>
      </c>
      <c r="F41" s="8"/>
      <c r="G41" s="8"/>
      <c r="H41" s="8"/>
      <c r="L41" s="9"/>
      <c r="M41" s="9"/>
      <c r="N41" s="9"/>
      <c r="O41" s="9"/>
      <c r="P41" s="9"/>
      <c r="Q41" s="9"/>
      <c r="R41" s="9"/>
      <c r="S41" s="9"/>
    </row>
    <row r="42" spans="3:19" ht="15.75" thickBot="1" x14ac:dyDescent="0.3"/>
    <row r="43" spans="3:19" x14ac:dyDescent="0.25">
      <c r="C43" s="9"/>
      <c r="D43" s="9" t="s">
        <v>35</v>
      </c>
      <c r="E43" s="9" t="s">
        <v>23</v>
      </c>
      <c r="F43" s="9" t="s">
        <v>36</v>
      </c>
      <c r="G43" s="9" t="s">
        <v>37</v>
      </c>
      <c r="H43" s="9" t="s">
        <v>38</v>
      </c>
      <c r="I43" s="9" t="s">
        <v>39</v>
      </c>
      <c r="J43" s="9" t="s">
        <v>40</v>
      </c>
      <c r="K43" s="9" t="s">
        <v>41</v>
      </c>
    </row>
    <row r="44" spans="3:19" ht="15.75" thickBot="1" x14ac:dyDescent="0.3">
      <c r="C44" t="s">
        <v>29</v>
      </c>
      <c r="D44">
        <v>51.213391962664041</v>
      </c>
      <c r="E44">
        <v>33.103291634749134</v>
      </c>
      <c r="F44">
        <v>1.5470785361086086</v>
      </c>
      <c r="G44">
        <v>0.21958243557386087</v>
      </c>
      <c r="H44">
        <v>-54.136056193072456</v>
      </c>
      <c r="I44">
        <v>156.56284011840054</v>
      </c>
      <c r="J44">
        <v>-54.136056193072456</v>
      </c>
      <c r="K44">
        <v>156.56284011840054</v>
      </c>
      <c r="L44" s="8"/>
      <c r="M44" s="8"/>
      <c r="N44" s="8"/>
      <c r="O44" s="8"/>
      <c r="P44" s="8"/>
      <c r="Q44" s="8"/>
      <c r="R44" s="8"/>
      <c r="S44" s="8"/>
    </row>
    <row r="45" spans="3:19" x14ac:dyDescent="0.25">
      <c r="C45" t="s">
        <v>42</v>
      </c>
      <c r="D45">
        <v>5.2923427467125398E-5</v>
      </c>
      <c r="E45">
        <v>7.6572662214967511E-5</v>
      </c>
      <c r="F45">
        <v>0.69115302950483748</v>
      </c>
      <c r="G45">
        <v>0.5391495092829186</v>
      </c>
      <c r="H45">
        <v>-1.9076495848463542E-4</v>
      </c>
      <c r="I45">
        <v>2.9661181341888624E-4</v>
      </c>
      <c r="J45">
        <v>-1.9076495848463542E-4</v>
      </c>
      <c r="K45">
        <v>2.9661181341888624E-4</v>
      </c>
    </row>
    <row r="46" spans="3:19" ht="15.75" thickBot="1" x14ac:dyDescent="0.3">
      <c r="C46" s="8" t="s">
        <v>43</v>
      </c>
      <c r="D46" s="8">
        <v>5.5844860864036751E-4</v>
      </c>
      <c r="E46" s="8">
        <v>6.0235008673484281E-4</v>
      </c>
      <c r="F46" s="8">
        <v>0.92711634137474452</v>
      </c>
      <c r="G46" s="8">
        <v>0.42225019049868717</v>
      </c>
      <c r="H46" s="8">
        <v>-1.3584981993762547E-3</v>
      </c>
      <c r="I46" s="8">
        <v>2.4753954166569898E-3</v>
      </c>
      <c r="J46" s="8">
        <v>-1.3584981993762547E-3</v>
      </c>
      <c r="K46" s="8">
        <v>2.4753954166569898E-3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6"/>
  <sheetViews>
    <sheetView zoomScale="90" zoomScaleNormal="90" workbookViewId="0">
      <selection activeCell="I16" sqref="I16"/>
    </sheetView>
  </sheetViews>
  <sheetFormatPr defaultRowHeight="15" x14ac:dyDescent="0.25"/>
  <cols>
    <col min="3" max="3" width="14.42578125" customWidth="1"/>
    <col min="4" max="4" width="18.85546875" customWidth="1"/>
    <col min="5" max="6" width="9.140625" customWidth="1"/>
    <col min="7" max="7" width="18.5703125" style="25" customWidth="1"/>
    <col min="8" max="8" width="15.7109375" customWidth="1"/>
  </cols>
  <sheetData>
    <row r="2" spans="2:12" ht="60" x14ac:dyDescent="0.25">
      <c r="B2" s="19" t="s">
        <v>0</v>
      </c>
      <c r="C2" s="3" t="s">
        <v>47</v>
      </c>
      <c r="D2" s="19" t="s">
        <v>2</v>
      </c>
      <c r="E2" s="19" t="s">
        <v>16</v>
      </c>
      <c r="F2" s="20" t="s">
        <v>17</v>
      </c>
      <c r="G2" s="3" t="s">
        <v>47</v>
      </c>
      <c r="H2" s="19" t="s">
        <v>44</v>
      </c>
      <c r="I2" s="2" t="s">
        <v>45</v>
      </c>
    </row>
    <row r="3" spans="2:12" ht="15.75" x14ac:dyDescent="0.25">
      <c r="B3" s="19">
        <v>2015</v>
      </c>
      <c r="C3" s="26">
        <v>872584</v>
      </c>
      <c r="D3" s="51">
        <v>199890.670136</v>
      </c>
      <c r="E3" s="45">
        <v>5103</v>
      </c>
      <c r="F3" s="19">
        <v>1.9</v>
      </c>
      <c r="G3" s="26">
        <v>872584</v>
      </c>
      <c r="H3" s="84">
        <f>(D3+E3)+(G3*0.019)</f>
        <v>221572.76613599999</v>
      </c>
      <c r="I3" s="20">
        <v>22</v>
      </c>
    </row>
    <row r="4" spans="2:12" ht="15.75" x14ac:dyDescent="0.25">
      <c r="B4" s="19">
        <v>2016</v>
      </c>
      <c r="C4" s="4">
        <v>972692</v>
      </c>
      <c r="D4" s="51">
        <v>321637.14556400001</v>
      </c>
      <c r="E4" s="45">
        <v>4635</v>
      </c>
      <c r="F4" s="19">
        <v>1.9</v>
      </c>
      <c r="G4" s="4">
        <v>972692</v>
      </c>
      <c r="H4" s="84">
        <f t="shared" ref="H4:H8" si="0">(D4+E4)+(G4*0.019)</f>
        <v>344753.29356399999</v>
      </c>
      <c r="I4" s="20">
        <v>27</v>
      </c>
    </row>
    <row r="5" spans="2:12" ht="15.75" x14ac:dyDescent="0.25">
      <c r="B5" s="19">
        <v>2017</v>
      </c>
      <c r="C5" s="4">
        <v>1030577</v>
      </c>
      <c r="D5" s="51">
        <v>314076.58536599996</v>
      </c>
      <c r="E5" s="45">
        <v>4315</v>
      </c>
      <c r="F5" s="19">
        <v>1.9</v>
      </c>
      <c r="G5" s="4">
        <v>1030577</v>
      </c>
      <c r="H5" s="84">
        <f t="shared" si="0"/>
        <v>337972.54836599994</v>
      </c>
      <c r="I5" s="20">
        <v>25</v>
      </c>
    </row>
    <row r="6" spans="2:12" ht="15.75" x14ac:dyDescent="0.25">
      <c r="B6" s="19">
        <v>2018</v>
      </c>
      <c r="C6" s="47">
        <v>1078384</v>
      </c>
      <c r="D6" s="51">
        <v>307217.58260800003</v>
      </c>
      <c r="E6" s="45">
        <v>4637</v>
      </c>
      <c r="F6" s="19">
        <v>1.9</v>
      </c>
      <c r="G6" s="95">
        <v>1078384</v>
      </c>
      <c r="H6" s="84">
        <f t="shared" si="0"/>
        <v>332343.878608</v>
      </c>
      <c r="I6" s="20">
        <v>23</v>
      </c>
    </row>
    <row r="7" spans="2:12" ht="15.75" x14ac:dyDescent="0.25">
      <c r="B7" s="19">
        <v>2019</v>
      </c>
      <c r="C7" s="13">
        <v>1136156</v>
      </c>
      <c r="D7" s="51">
        <v>302849.19873599993</v>
      </c>
      <c r="E7" s="45">
        <v>5057</v>
      </c>
      <c r="F7" s="19">
        <v>1.9</v>
      </c>
      <c r="G7" s="89">
        <v>1136156</v>
      </c>
      <c r="H7" s="84">
        <f t="shared" si="0"/>
        <v>329493.16273599991</v>
      </c>
      <c r="I7" s="20">
        <v>36</v>
      </c>
      <c r="K7" t="s">
        <v>18</v>
      </c>
    </row>
    <row r="8" spans="2:12" ht="16.5" thickBot="1" x14ac:dyDescent="0.3">
      <c r="B8" s="19">
        <v>2022</v>
      </c>
      <c r="C8" s="14">
        <v>1354556</v>
      </c>
      <c r="D8" s="51">
        <v>470429.17146400001</v>
      </c>
      <c r="E8" s="45">
        <v>7615</v>
      </c>
      <c r="F8" s="19">
        <v>1.9</v>
      </c>
      <c r="G8" s="96">
        <v>1354556</v>
      </c>
      <c r="H8" s="84">
        <f t="shared" si="0"/>
        <v>503780.73546400003</v>
      </c>
      <c r="I8" s="20">
        <v>40</v>
      </c>
    </row>
    <row r="9" spans="2:12" x14ac:dyDescent="0.25">
      <c r="B9" s="2">
        <v>2023</v>
      </c>
      <c r="C9" s="12">
        <v>1379000</v>
      </c>
      <c r="D9" s="2"/>
      <c r="E9" s="2"/>
      <c r="F9" s="2"/>
      <c r="G9" s="12">
        <v>1379000</v>
      </c>
      <c r="H9" s="18">
        <f>$L$23+$L$24*G9</f>
        <v>499800.11483827158</v>
      </c>
      <c r="I9" s="83">
        <f>$C$41+$C$42*G9+C43*H9</f>
        <v>40.731488107029314</v>
      </c>
      <c r="K9" s="10" t="s">
        <v>19</v>
      </c>
      <c r="L9" s="10"/>
    </row>
    <row r="10" spans="2:12" x14ac:dyDescent="0.25">
      <c r="B10" s="2">
        <v>2024</v>
      </c>
      <c r="C10" s="12">
        <v>1434000</v>
      </c>
      <c r="D10" s="2"/>
      <c r="E10" s="2"/>
      <c r="F10" s="2"/>
      <c r="G10" s="12">
        <v>1434000</v>
      </c>
      <c r="H10" s="18">
        <f t="shared" ref="H10:H16" si="1">$L$23+$L$24*G10</f>
        <v>527731.88750538672</v>
      </c>
      <c r="I10" s="83">
        <f t="shared" ref="I10:I16" si="2">$C$41+$C$42*G10+C44*H10</f>
        <v>49.525748082922078</v>
      </c>
      <c r="K10" t="s">
        <v>20</v>
      </c>
      <c r="L10">
        <v>0.92377075662680741</v>
      </c>
    </row>
    <row r="11" spans="2:12" x14ac:dyDescent="0.25">
      <c r="B11" s="2">
        <v>2025</v>
      </c>
      <c r="C11" s="12">
        <v>1490000</v>
      </c>
      <c r="D11" s="2"/>
      <c r="E11" s="2"/>
      <c r="F11" s="2"/>
      <c r="G11" s="12">
        <v>1490000</v>
      </c>
      <c r="H11" s="18">
        <f t="shared" si="1"/>
        <v>556171.51058463124</v>
      </c>
      <c r="I11" s="83">
        <f t="shared" si="2"/>
        <v>52.069700666427678</v>
      </c>
      <c r="K11" t="s">
        <v>21</v>
      </c>
      <c r="L11">
        <v>0.85335241079886415</v>
      </c>
    </row>
    <row r="12" spans="2:12" x14ac:dyDescent="0.25">
      <c r="B12" s="2">
        <v>2026</v>
      </c>
      <c r="C12" s="12">
        <v>1545000</v>
      </c>
      <c r="D12" s="2"/>
      <c r="E12" s="2"/>
      <c r="F12" s="2"/>
      <c r="G12" s="12">
        <v>1545000</v>
      </c>
      <c r="H12" s="18">
        <f t="shared" si="1"/>
        <v>584103.28325174632</v>
      </c>
      <c r="I12" s="83">
        <f t="shared" si="2"/>
        <v>54.568225525227831</v>
      </c>
      <c r="K12" t="s">
        <v>22</v>
      </c>
      <c r="L12">
        <v>0.81669051349858024</v>
      </c>
    </row>
    <row r="13" spans="2:12" x14ac:dyDescent="0.25">
      <c r="B13" s="2">
        <v>2027</v>
      </c>
      <c r="C13" s="12">
        <v>1601000</v>
      </c>
      <c r="D13" s="2"/>
      <c r="E13" s="2"/>
      <c r="F13" s="2"/>
      <c r="G13" s="12">
        <v>1601000</v>
      </c>
      <c r="H13" s="18">
        <f t="shared" si="1"/>
        <v>612542.90633099084</v>
      </c>
      <c r="I13" s="83">
        <f t="shared" si="2"/>
        <v>57.112178108733431</v>
      </c>
      <c r="K13" t="s">
        <v>23</v>
      </c>
      <c r="L13">
        <v>38720.970039532243</v>
      </c>
    </row>
    <row r="14" spans="2:12" ht="15.75" thickBot="1" x14ac:dyDescent="0.3">
      <c r="B14" s="2">
        <v>2028</v>
      </c>
      <c r="C14" s="12">
        <v>1656000</v>
      </c>
      <c r="D14" s="2"/>
      <c r="E14" s="2"/>
      <c r="F14" s="2"/>
      <c r="G14" s="12">
        <v>1656000</v>
      </c>
      <c r="H14" s="18">
        <f t="shared" si="1"/>
        <v>640474.67899810593</v>
      </c>
      <c r="I14" s="83">
        <f t="shared" si="2"/>
        <v>59.61070296753357</v>
      </c>
      <c r="K14" s="8" t="s">
        <v>24</v>
      </c>
      <c r="L14" s="8">
        <v>6</v>
      </c>
    </row>
    <row r="15" spans="2:12" x14ac:dyDescent="0.25">
      <c r="B15" s="2">
        <v>2029</v>
      </c>
      <c r="C15" s="12">
        <v>1712000</v>
      </c>
      <c r="D15" s="2"/>
      <c r="E15" s="2"/>
      <c r="F15" s="2"/>
      <c r="G15" s="12">
        <v>1712000</v>
      </c>
      <c r="H15" s="18">
        <f t="shared" si="1"/>
        <v>668914.30207735044</v>
      </c>
      <c r="I15" s="83">
        <f t="shared" si="2"/>
        <v>62.15465555103917</v>
      </c>
    </row>
    <row r="16" spans="2:12" ht="15.75" thickBot="1" x14ac:dyDescent="0.3">
      <c r="B16" s="2">
        <v>2030</v>
      </c>
      <c r="C16" s="12">
        <v>1768000</v>
      </c>
      <c r="D16" s="2"/>
      <c r="E16" s="2"/>
      <c r="F16" s="2"/>
      <c r="G16" s="12">
        <v>1768000</v>
      </c>
      <c r="H16" s="18">
        <f t="shared" si="1"/>
        <v>697353.92515659495</v>
      </c>
      <c r="I16" s="83">
        <f t="shared" si="2"/>
        <v>64.69860813454477</v>
      </c>
      <c r="K16" t="s">
        <v>25</v>
      </c>
    </row>
    <row r="17" spans="2:19" ht="15.75" x14ac:dyDescent="0.25">
      <c r="C17" s="13"/>
      <c r="D17" s="51"/>
      <c r="E17" s="45"/>
      <c r="K17" s="9"/>
      <c r="L17" s="9" t="s">
        <v>30</v>
      </c>
      <c r="M17" s="9" t="s">
        <v>31</v>
      </c>
      <c r="N17" s="9" t="s">
        <v>32</v>
      </c>
      <c r="O17" s="9" t="s">
        <v>33</v>
      </c>
      <c r="P17" s="9" t="s">
        <v>34</v>
      </c>
    </row>
    <row r="18" spans="2:19" x14ac:dyDescent="0.25">
      <c r="K18" t="s">
        <v>26</v>
      </c>
      <c r="L18">
        <v>1</v>
      </c>
      <c r="M18">
        <v>34898434116.504677</v>
      </c>
      <c r="N18">
        <v>34898434116.504677</v>
      </c>
      <c r="O18">
        <v>23.276275196817323</v>
      </c>
      <c r="P18">
        <v>8.4948661562774044E-3</v>
      </c>
    </row>
    <row r="19" spans="2:19" x14ac:dyDescent="0.25">
      <c r="B19" t="s">
        <v>6</v>
      </c>
      <c r="K19" t="s">
        <v>27</v>
      </c>
      <c r="L19">
        <v>4</v>
      </c>
      <c r="M19">
        <v>5997254083.2094145</v>
      </c>
      <c r="N19">
        <v>1499313520.8023536</v>
      </c>
    </row>
    <row r="20" spans="2:19" ht="15.75" thickBot="1" x14ac:dyDescent="0.3">
      <c r="K20" s="8" t="s">
        <v>28</v>
      </c>
      <c r="L20" s="8">
        <v>5</v>
      </c>
      <c r="M20" s="8">
        <v>40895688199.714088</v>
      </c>
      <c r="N20" s="8"/>
      <c r="O20" s="8"/>
      <c r="P20" s="8"/>
    </row>
    <row r="21" spans="2:19" ht="15.75" thickBot="1" x14ac:dyDescent="0.3"/>
    <row r="22" spans="2:19" x14ac:dyDescent="0.25">
      <c r="K22" s="9"/>
      <c r="L22" s="9" t="s">
        <v>35</v>
      </c>
      <c r="M22" s="9" t="s">
        <v>23</v>
      </c>
      <c r="N22" s="9" t="s">
        <v>36</v>
      </c>
      <c r="O22" s="9" t="s">
        <v>37</v>
      </c>
      <c r="P22" s="9" t="s">
        <v>38</v>
      </c>
      <c r="Q22" s="9" t="s">
        <v>39</v>
      </c>
      <c r="R22" s="9" t="s">
        <v>40</v>
      </c>
      <c r="S22" s="9" t="s">
        <v>41</v>
      </c>
    </row>
    <row r="23" spans="2:19" x14ac:dyDescent="0.25">
      <c r="G23"/>
      <c r="K23" t="s">
        <v>29</v>
      </c>
      <c r="L23">
        <v>-200525.60348812427</v>
      </c>
      <c r="M23">
        <v>114169.63341557715</v>
      </c>
      <c r="N23">
        <v>-1.7563830021089026</v>
      </c>
      <c r="O23">
        <v>0.15386508291630255</v>
      </c>
      <c r="P23">
        <v>-517511.32334702986</v>
      </c>
      <c r="Q23">
        <v>116460.11637078132</v>
      </c>
      <c r="R23">
        <v>-517511.32334702986</v>
      </c>
      <c r="S23">
        <v>116460.11637078132</v>
      </c>
    </row>
    <row r="24" spans="2:19" ht="15.75" thickBot="1" x14ac:dyDescent="0.3">
      <c r="G24"/>
      <c r="K24" s="8" t="s">
        <v>42</v>
      </c>
      <c r="L24" s="8">
        <v>0.5078504121293661</v>
      </c>
      <c r="M24" s="8">
        <v>0.10526380574566431</v>
      </c>
      <c r="N24" s="8">
        <v>4.8245492221364401</v>
      </c>
      <c r="O24" s="8">
        <v>8.4948661562774027E-3</v>
      </c>
      <c r="P24" s="8">
        <v>0.21559123391232504</v>
      </c>
      <c r="Q24" s="8">
        <v>0.80010959034640716</v>
      </c>
      <c r="R24" s="8">
        <v>0.21559123391232504</v>
      </c>
      <c r="S24" s="8">
        <v>0.80010959034640716</v>
      </c>
    </row>
    <row r="25" spans="2:19" x14ac:dyDescent="0.25">
      <c r="B25" t="s">
        <v>18</v>
      </c>
      <c r="G25"/>
    </row>
    <row r="26" spans="2:19" ht="15.75" thickBot="1" x14ac:dyDescent="0.3">
      <c r="G26"/>
    </row>
    <row r="27" spans="2:19" x14ac:dyDescent="0.25">
      <c r="B27" s="10" t="s">
        <v>19</v>
      </c>
      <c r="C27" s="10"/>
      <c r="G27"/>
    </row>
    <row r="28" spans="2:19" x14ac:dyDescent="0.25">
      <c r="B28" t="s">
        <v>20</v>
      </c>
      <c r="C28">
        <v>0.8680358270438715</v>
      </c>
      <c r="G28"/>
    </row>
    <row r="29" spans="2:19" x14ac:dyDescent="0.25">
      <c r="B29" t="s">
        <v>21</v>
      </c>
      <c r="C29">
        <v>0.75348619703173803</v>
      </c>
      <c r="G29"/>
    </row>
    <row r="30" spans="2:19" x14ac:dyDescent="0.25">
      <c r="B30" t="s">
        <v>22</v>
      </c>
      <c r="C30">
        <v>0.58914366171956345</v>
      </c>
      <c r="G30"/>
    </row>
    <row r="31" spans="2:19" ht="15.75" thickBot="1" x14ac:dyDescent="0.3">
      <c r="B31" t="s">
        <v>23</v>
      </c>
      <c r="C31">
        <v>4.7521998478755068</v>
      </c>
      <c r="G31"/>
      <c r="L31" s="8"/>
    </row>
    <row r="32" spans="2:19" ht="15.75" thickBot="1" x14ac:dyDescent="0.3">
      <c r="B32" s="8" t="s">
        <v>24</v>
      </c>
      <c r="C32" s="8">
        <v>6</v>
      </c>
      <c r="G32"/>
    </row>
    <row r="33" spans="2:19" ht="15.75" thickBot="1" x14ac:dyDescent="0.3">
      <c r="G33"/>
    </row>
    <row r="34" spans="2:19" ht="15.75" thickBot="1" x14ac:dyDescent="0.3">
      <c r="B34" t="s">
        <v>25</v>
      </c>
      <c r="G34"/>
      <c r="L34" s="9"/>
      <c r="M34" s="9"/>
      <c r="N34" s="9"/>
      <c r="O34" s="9"/>
      <c r="P34" s="9"/>
    </row>
    <row r="35" spans="2:19" x14ac:dyDescent="0.25">
      <c r="B35" s="9"/>
      <c r="C35" s="9" t="s">
        <v>30</v>
      </c>
      <c r="D35" s="9" t="s">
        <v>31</v>
      </c>
      <c r="E35" s="9" t="s">
        <v>32</v>
      </c>
      <c r="F35" s="9" t="s">
        <v>33</v>
      </c>
      <c r="G35" s="9" t="s">
        <v>34</v>
      </c>
    </row>
    <row r="36" spans="2:19" x14ac:dyDescent="0.25">
      <c r="B36" t="s">
        <v>26</v>
      </c>
      <c r="C36">
        <v>2</v>
      </c>
      <c r="D36">
        <v>207.08312315088932</v>
      </c>
      <c r="E36">
        <v>103.54156157544466</v>
      </c>
      <c r="F36">
        <v>4.5848519715268088</v>
      </c>
      <c r="G36">
        <v>0.12239448869993461</v>
      </c>
    </row>
    <row r="37" spans="2:19" ht="15.75" thickBot="1" x14ac:dyDescent="0.3">
      <c r="B37" t="s">
        <v>27</v>
      </c>
      <c r="C37">
        <v>3</v>
      </c>
      <c r="D37">
        <v>67.750210182443979</v>
      </c>
      <c r="E37">
        <v>22.583403394147993</v>
      </c>
      <c r="G37"/>
      <c r="L37" s="8"/>
      <c r="M37" s="8"/>
      <c r="N37" s="8"/>
      <c r="O37" s="8"/>
      <c r="P37" s="8"/>
    </row>
    <row r="38" spans="2:19" ht="15.75" thickBot="1" x14ac:dyDescent="0.3">
      <c r="B38" s="8" t="s">
        <v>28</v>
      </c>
      <c r="C38" s="8">
        <v>5</v>
      </c>
      <c r="D38" s="8">
        <v>274.83333333333331</v>
      </c>
      <c r="E38" s="8"/>
      <c r="F38" s="8"/>
      <c r="G38" s="8"/>
    </row>
    <row r="39" spans="2:19" ht="15.75" thickBot="1" x14ac:dyDescent="0.3">
      <c r="G39"/>
      <c r="L39" s="9"/>
      <c r="M39" s="9"/>
      <c r="N39" s="9"/>
      <c r="O39" s="9"/>
      <c r="P39" s="9"/>
      <c r="Q39" s="9"/>
      <c r="R39" s="9"/>
      <c r="S39" s="9"/>
    </row>
    <row r="40" spans="2:19" x14ac:dyDescent="0.25">
      <c r="B40" s="9"/>
      <c r="C40" s="9" t="s">
        <v>35</v>
      </c>
      <c r="D40" s="9" t="s">
        <v>23</v>
      </c>
      <c r="E40" s="9" t="s">
        <v>36</v>
      </c>
      <c r="F40" s="9" t="s">
        <v>37</v>
      </c>
      <c r="G40" s="9" t="s">
        <v>38</v>
      </c>
      <c r="H40" s="9" t="s">
        <v>39</v>
      </c>
      <c r="I40" s="9" t="s">
        <v>40</v>
      </c>
      <c r="J40" s="9" t="s">
        <v>41</v>
      </c>
      <c r="K40" s="9"/>
    </row>
    <row r="41" spans="2:19" x14ac:dyDescent="0.25">
      <c r="B41" t="s">
        <v>29</v>
      </c>
      <c r="C41">
        <v>-15.617609144703462</v>
      </c>
      <c r="D41">
        <v>18.648133344656564</v>
      </c>
      <c r="E41">
        <v>-0.83748913931798596</v>
      </c>
      <c r="F41">
        <v>0.46378754813810397</v>
      </c>
      <c r="G41">
        <v>-74.964292207843684</v>
      </c>
      <c r="H41">
        <v>43.729073918436754</v>
      </c>
      <c r="I41">
        <v>-74.964292207843684</v>
      </c>
      <c r="J41">
        <v>43.729073918436754</v>
      </c>
    </row>
    <row r="42" spans="2:19" ht="15.75" thickBot="1" x14ac:dyDescent="0.3">
      <c r="B42" t="s">
        <v>42</v>
      </c>
      <c r="C42">
        <v>4.5427724705457148E-5</v>
      </c>
      <c r="D42">
        <v>3.3735726801804695E-5</v>
      </c>
      <c r="E42">
        <v>1.3465761378832066</v>
      </c>
      <c r="F42">
        <v>0.27081511672549557</v>
      </c>
      <c r="G42">
        <v>-6.1934414411006793E-5</v>
      </c>
      <c r="H42">
        <v>1.527898638219211E-4</v>
      </c>
      <c r="I42">
        <v>-6.1934414411006793E-5</v>
      </c>
      <c r="J42">
        <v>1.527898638219211E-4</v>
      </c>
      <c r="L42" s="8"/>
      <c r="M42" s="8"/>
      <c r="N42" s="8"/>
      <c r="O42" s="8"/>
      <c r="P42" s="8"/>
      <c r="Q42" s="8"/>
      <c r="R42" s="8"/>
      <c r="S42" s="8"/>
    </row>
    <row r="43" spans="2:19" ht="15.75" thickBot="1" x14ac:dyDescent="0.3">
      <c r="B43" s="8" t="s">
        <v>43</v>
      </c>
      <c r="C43" s="8">
        <v>-1.2596505943440693E-5</v>
      </c>
      <c r="D43" s="8">
        <v>6.1364679694539425E-5</v>
      </c>
      <c r="E43" s="8">
        <v>-0.20527290301429865</v>
      </c>
      <c r="F43" s="8">
        <v>0.85049816355469954</v>
      </c>
      <c r="G43" s="8">
        <v>-2.0788630411224592E-4</v>
      </c>
      <c r="H43" s="8">
        <v>1.8269329222536456E-4</v>
      </c>
      <c r="I43" s="8">
        <v>-2.0788630411224592E-4</v>
      </c>
      <c r="J43" s="8">
        <v>1.8269329222536456E-4</v>
      </c>
      <c r="K43" s="8"/>
    </row>
    <row r="44" spans="2:19" x14ac:dyDescent="0.25">
      <c r="G44"/>
    </row>
    <row r="45" spans="2:19" x14ac:dyDescent="0.25">
      <c r="G45"/>
    </row>
    <row r="46" spans="2:19" x14ac:dyDescent="0.25">
      <c r="G46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4"/>
  <sheetViews>
    <sheetView zoomScaleNormal="100" workbookViewId="0">
      <selection activeCell="I12" sqref="I12"/>
    </sheetView>
  </sheetViews>
  <sheetFormatPr defaultRowHeight="15" x14ac:dyDescent="0.25"/>
  <cols>
    <col min="3" max="3" width="21" customWidth="1"/>
    <col min="4" max="4" width="22.140625" customWidth="1"/>
    <col min="5" max="6" width="9.140625" customWidth="1"/>
    <col min="7" max="7" width="15" customWidth="1"/>
    <col min="8" max="8" width="15.7109375" customWidth="1"/>
  </cols>
  <sheetData>
    <row r="2" spans="2:12" x14ac:dyDescent="0.25">
      <c r="F2" s="12"/>
      <c r="H2" s="12"/>
      <c r="I2" s="15"/>
    </row>
    <row r="3" spans="2:12" ht="60" x14ac:dyDescent="0.25">
      <c r="B3" s="28" t="s">
        <v>0</v>
      </c>
      <c r="C3" s="3" t="s">
        <v>47</v>
      </c>
      <c r="D3" s="28" t="s">
        <v>2</v>
      </c>
      <c r="E3" s="28" t="s">
        <v>16</v>
      </c>
      <c r="F3" s="15" t="s">
        <v>17</v>
      </c>
      <c r="G3" s="28" t="s">
        <v>47</v>
      </c>
      <c r="H3" s="28" t="s">
        <v>44</v>
      </c>
      <c r="I3" s="2" t="s">
        <v>45</v>
      </c>
    </row>
    <row r="4" spans="2:12" ht="15.75" x14ac:dyDescent="0.25">
      <c r="B4" s="28">
        <v>2015</v>
      </c>
      <c r="C4" s="26">
        <v>872584</v>
      </c>
      <c r="D4" s="51">
        <v>2187.568088</v>
      </c>
      <c r="E4" s="45">
        <v>0</v>
      </c>
      <c r="F4" s="19">
        <v>1.9</v>
      </c>
      <c r="G4" s="26">
        <v>872584</v>
      </c>
      <c r="H4" s="84">
        <f>(D4+E4)+(G4*0.019)</f>
        <v>18766.664088000001</v>
      </c>
      <c r="I4" s="15">
        <v>42</v>
      </c>
    </row>
    <row r="5" spans="2:12" ht="15.75" x14ac:dyDescent="0.25">
      <c r="B5" s="28">
        <v>2016</v>
      </c>
      <c r="C5" s="4">
        <v>972692</v>
      </c>
      <c r="D5" s="51">
        <v>1999.8547520000002</v>
      </c>
      <c r="E5" s="45">
        <v>0</v>
      </c>
      <c r="F5" s="19">
        <v>1.9</v>
      </c>
      <c r="G5" s="4">
        <v>972692</v>
      </c>
      <c r="H5" s="84">
        <f t="shared" ref="H5:H9" si="0">(D5+E5)+(G5*0.019)</f>
        <v>20481.002752</v>
      </c>
      <c r="I5" s="15">
        <v>40</v>
      </c>
    </row>
    <row r="6" spans="2:12" ht="15.75" x14ac:dyDescent="0.25">
      <c r="B6" s="28">
        <v>2017</v>
      </c>
      <c r="C6" s="4">
        <v>1030577</v>
      </c>
      <c r="D6" s="51">
        <v>3048.446766</v>
      </c>
      <c r="E6" s="45">
        <v>0</v>
      </c>
      <c r="F6" s="19">
        <v>1.9</v>
      </c>
      <c r="G6" s="4">
        <v>1030577</v>
      </c>
      <c r="H6" s="84">
        <f t="shared" si="0"/>
        <v>22629.409766000001</v>
      </c>
      <c r="I6" s="15">
        <v>41</v>
      </c>
    </row>
    <row r="7" spans="2:12" ht="16.5" thickBot="1" x14ac:dyDescent="0.3">
      <c r="B7" s="28">
        <v>2018</v>
      </c>
      <c r="C7" s="47">
        <v>1078384</v>
      </c>
      <c r="D7" s="51">
        <v>4184.1299200000003</v>
      </c>
      <c r="E7" s="45">
        <v>3020</v>
      </c>
      <c r="F7" s="19">
        <v>1.9</v>
      </c>
      <c r="G7" s="47">
        <v>1078384</v>
      </c>
      <c r="H7" s="84">
        <f t="shared" si="0"/>
        <v>27693.425919999998</v>
      </c>
      <c r="I7" s="15">
        <v>33</v>
      </c>
    </row>
    <row r="8" spans="2:12" ht="15.75" x14ac:dyDescent="0.25">
      <c r="B8" s="28">
        <v>2019</v>
      </c>
      <c r="C8" s="13">
        <v>1136156</v>
      </c>
      <c r="D8" s="51">
        <v>3294.8523999999998</v>
      </c>
      <c r="E8" s="45">
        <v>180</v>
      </c>
      <c r="F8" s="19">
        <v>1.9</v>
      </c>
      <c r="G8" s="13">
        <v>1136156</v>
      </c>
      <c r="H8" s="84">
        <f t="shared" si="0"/>
        <v>25061.8164</v>
      </c>
      <c r="I8" s="15">
        <v>37</v>
      </c>
      <c r="J8" s="10"/>
      <c r="K8" t="s">
        <v>18</v>
      </c>
    </row>
    <row r="9" spans="2:12" ht="16.5" thickBot="1" x14ac:dyDescent="0.3">
      <c r="B9" s="28">
        <v>2022</v>
      </c>
      <c r="C9" s="14">
        <v>1354556</v>
      </c>
      <c r="D9" s="51">
        <v>3005.7597639999999</v>
      </c>
      <c r="E9" s="45">
        <v>0</v>
      </c>
      <c r="F9" s="19">
        <v>1.9</v>
      </c>
      <c r="G9" s="14">
        <v>1354556</v>
      </c>
      <c r="H9" s="84">
        <f t="shared" si="0"/>
        <v>28742.323763999997</v>
      </c>
      <c r="I9" s="15">
        <v>38</v>
      </c>
    </row>
    <row r="10" spans="2:12" x14ac:dyDescent="0.25">
      <c r="B10" s="33">
        <v>2023</v>
      </c>
      <c r="C10" s="12">
        <v>1379000</v>
      </c>
      <c r="D10" s="25"/>
      <c r="G10" s="12">
        <v>1379000</v>
      </c>
      <c r="H10" s="32">
        <f>$L$24+$L$25*G10</f>
        <v>30390.570727361861</v>
      </c>
      <c r="I10" s="83">
        <f>$D$42+$D$43*G10+$D$44*H10</f>
        <v>35.744489747872116</v>
      </c>
      <c r="K10" s="10" t="s">
        <v>19</v>
      </c>
      <c r="L10" s="10"/>
    </row>
    <row r="11" spans="2:12" x14ac:dyDescent="0.25">
      <c r="B11" s="20">
        <v>2024</v>
      </c>
      <c r="C11" s="12">
        <v>1434000</v>
      </c>
      <c r="D11" s="25"/>
      <c r="G11" s="12">
        <v>1434000</v>
      </c>
      <c r="H11" s="32">
        <f t="shared" ref="H11:H17" si="1">$L$24+$L$25*G11</f>
        <v>31562.371290648185</v>
      </c>
      <c r="I11" s="83">
        <f t="shared" ref="I11:I17" si="2">$D$42+$D$43*G11+$D$44*H11</f>
        <v>35.24733664322811</v>
      </c>
      <c r="K11" t="s">
        <v>20</v>
      </c>
      <c r="L11">
        <v>0.88262594318939713</v>
      </c>
    </row>
    <row r="12" spans="2:12" x14ac:dyDescent="0.25">
      <c r="B12" s="20">
        <v>2025</v>
      </c>
      <c r="C12" s="12">
        <v>1490000</v>
      </c>
      <c r="D12" s="25"/>
      <c r="G12" s="12">
        <v>1490000</v>
      </c>
      <c r="H12" s="32">
        <f t="shared" si="1"/>
        <v>32755.477318721532</v>
      </c>
      <c r="I12" s="83">
        <f t="shared" si="2"/>
        <v>34.74114439122696</v>
      </c>
      <c r="K12" t="s">
        <v>21</v>
      </c>
      <c r="L12">
        <v>0.77902855559097295</v>
      </c>
    </row>
    <row r="13" spans="2:12" ht="15.75" thickBot="1" x14ac:dyDescent="0.3">
      <c r="B13" s="20">
        <v>2026</v>
      </c>
      <c r="C13" s="12">
        <v>1545000</v>
      </c>
      <c r="D13" s="25"/>
      <c r="G13" s="12">
        <v>1545000</v>
      </c>
      <c r="H13" s="32">
        <f t="shared" si="1"/>
        <v>33927.277882007853</v>
      </c>
      <c r="I13" s="83">
        <f t="shared" si="2"/>
        <v>34.243991286582975</v>
      </c>
      <c r="J13" s="8"/>
      <c r="K13" t="s">
        <v>22</v>
      </c>
      <c r="L13">
        <v>0.72378569448871621</v>
      </c>
    </row>
    <row r="14" spans="2:12" x14ac:dyDescent="0.25">
      <c r="B14" s="20">
        <v>2027</v>
      </c>
      <c r="C14" s="12">
        <v>1601000</v>
      </c>
      <c r="D14" s="25"/>
      <c r="G14" s="12">
        <v>1601000</v>
      </c>
      <c r="H14" s="32">
        <f t="shared" si="1"/>
        <v>35120.383910081204</v>
      </c>
      <c r="I14" s="83">
        <f t="shared" si="2"/>
        <v>33.737799034581812</v>
      </c>
      <c r="K14" t="s">
        <v>23</v>
      </c>
      <c r="L14">
        <v>2086.9861506401289</v>
      </c>
    </row>
    <row r="15" spans="2:12" ht="15.75" thickBot="1" x14ac:dyDescent="0.3">
      <c r="B15" s="20">
        <v>2028</v>
      </c>
      <c r="C15" s="12">
        <v>1656000</v>
      </c>
      <c r="D15" s="25"/>
      <c r="G15" s="12">
        <v>1656000</v>
      </c>
      <c r="H15" s="32">
        <f t="shared" si="1"/>
        <v>36292.184473367539</v>
      </c>
      <c r="I15" s="83">
        <f t="shared" si="2"/>
        <v>33.240645929937806</v>
      </c>
      <c r="K15" s="8" t="s">
        <v>24</v>
      </c>
      <c r="L15" s="8">
        <v>6</v>
      </c>
    </row>
    <row r="16" spans="2:12" x14ac:dyDescent="0.25">
      <c r="B16" s="20">
        <v>2029</v>
      </c>
      <c r="C16" s="12">
        <v>1712000</v>
      </c>
      <c r="D16" s="25"/>
      <c r="G16" s="12">
        <v>1712000</v>
      </c>
      <c r="H16" s="32">
        <f t="shared" si="1"/>
        <v>37485.290501440875</v>
      </c>
      <c r="I16" s="83">
        <f t="shared" si="2"/>
        <v>32.734453677936663</v>
      </c>
      <c r="J16" s="9"/>
    </row>
    <row r="17" spans="2:19" ht="15.75" thickBot="1" x14ac:dyDescent="0.3">
      <c r="B17" s="20">
        <v>2030</v>
      </c>
      <c r="C17" s="12">
        <v>1768000</v>
      </c>
      <c r="D17" s="25"/>
      <c r="G17" s="12">
        <v>1768000</v>
      </c>
      <c r="H17" s="32">
        <f t="shared" si="1"/>
        <v>38678.396529514226</v>
      </c>
      <c r="I17" s="83">
        <f t="shared" si="2"/>
        <v>32.228261425935507</v>
      </c>
      <c r="K17" t="s">
        <v>25</v>
      </c>
    </row>
    <row r="18" spans="2:19" x14ac:dyDescent="0.25">
      <c r="B18" s="25"/>
      <c r="C18" s="25"/>
      <c r="D18" s="25"/>
      <c r="G18" s="25"/>
      <c r="K18" s="9"/>
      <c r="L18" s="9" t="s">
        <v>30</v>
      </c>
      <c r="M18" s="9" t="s">
        <v>31</v>
      </c>
      <c r="N18" s="9" t="s">
        <v>32</v>
      </c>
      <c r="O18" s="9" t="s">
        <v>33</v>
      </c>
      <c r="P18" s="9" t="s">
        <v>34</v>
      </c>
    </row>
    <row r="19" spans="2:19" ht="15.75" thickBot="1" x14ac:dyDescent="0.3">
      <c r="J19" s="8"/>
      <c r="K19" t="s">
        <v>26</v>
      </c>
      <c r="L19">
        <v>1</v>
      </c>
      <c r="M19">
        <v>61420924.365849279</v>
      </c>
      <c r="N19">
        <v>61420924.365849279</v>
      </c>
      <c r="O19">
        <v>14.101886470886436</v>
      </c>
      <c r="P19">
        <v>1.9856492040882356E-2</v>
      </c>
    </row>
    <row r="20" spans="2:19" ht="15.75" thickBot="1" x14ac:dyDescent="0.3">
      <c r="B20" t="s">
        <v>5</v>
      </c>
      <c r="K20" t="s">
        <v>27</v>
      </c>
      <c r="L20">
        <v>4</v>
      </c>
      <c r="M20">
        <v>17422044.77185481</v>
      </c>
      <c r="N20">
        <v>4355511.1929637026</v>
      </c>
    </row>
    <row r="21" spans="2:19" ht="15.75" thickBot="1" x14ac:dyDescent="0.3">
      <c r="J21" s="9"/>
      <c r="K21" s="8" t="s">
        <v>28</v>
      </c>
      <c r="L21" s="8">
        <v>5</v>
      </c>
      <c r="M21" s="8">
        <v>78842969.137704089</v>
      </c>
      <c r="N21" s="8"/>
      <c r="O21" s="8"/>
      <c r="P21" s="8"/>
    </row>
    <row r="22" spans="2:19" ht="15.75" thickBot="1" x14ac:dyDescent="0.3"/>
    <row r="23" spans="2:19" ht="15.75" thickBot="1" x14ac:dyDescent="0.3">
      <c r="J23" s="8"/>
      <c r="K23" s="9"/>
      <c r="L23" s="9" t="s">
        <v>35</v>
      </c>
      <c r="M23" s="9" t="s">
        <v>23</v>
      </c>
      <c r="N23" s="9" t="s">
        <v>36</v>
      </c>
      <c r="O23" s="9" t="s">
        <v>37</v>
      </c>
      <c r="P23" s="9" t="s">
        <v>38</v>
      </c>
      <c r="Q23" s="9" t="s">
        <v>39</v>
      </c>
      <c r="R23" s="9" t="s">
        <v>40</v>
      </c>
      <c r="S23" s="9" t="s">
        <v>41</v>
      </c>
    </row>
    <row r="24" spans="2:19" x14ac:dyDescent="0.25">
      <c r="K24" t="s">
        <v>29</v>
      </c>
      <c r="L24">
        <v>1010.3347860556423</v>
      </c>
      <c r="M24">
        <v>6153.5246539202744</v>
      </c>
      <c r="N24">
        <v>0.16418798052787201</v>
      </c>
      <c r="O24">
        <v>0.87754573845945494</v>
      </c>
      <c r="P24">
        <v>-16074.58861903525</v>
      </c>
      <c r="Q24">
        <v>18095.258191146535</v>
      </c>
      <c r="R24">
        <v>-16074.58861903525</v>
      </c>
      <c r="S24">
        <v>18095.258191146535</v>
      </c>
    </row>
    <row r="25" spans="2:19" ht="15.75" thickBot="1" x14ac:dyDescent="0.3">
      <c r="K25" s="8" t="s">
        <v>42</v>
      </c>
      <c r="L25" s="8">
        <v>2.1305464787024088E-2</v>
      </c>
      <c r="M25" s="8">
        <v>5.6735175934535566E-3</v>
      </c>
      <c r="N25" s="8">
        <v>3.7552478574504828</v>
      </c>
      <c r="O25" s="8">
        <v>1.9856492040882346E-2</v>
      </c>
      <c r="P25" s="8">
        <v>5.5532546354263961E-3</v>
      </c>
      <c r="Q25" s="8">
        <v>3.7057674938621776E-2</v>
      </c>
      <c r="R25" s="8">
        <v>5.5532546354263961E-3</v>
      </c>
      <c r="S25" s="8">
        <v>3.7057674938621776E-2</v>
      </c>
    </row>
    <row r="26" spans="2:19" x14ac:dyDescent="0.25">
      <c r="C26" t="s">
        <v>18</v>
      </c>
    </row>
    <row r="27" spans="2:19" ht="15.75" thickBot="1" x14ac:dyDescent="0.3"/>
    <row r="28" spans="2:19" x14ac:dyDescent="0.25">
      <c r="C28" s="10" t="s">
        <v>19</v>
      </c>
      <c r="D28" s="10"/>
    </row>
    <row r="29" spans="2:19" x14ac:dyDescent="0.25">
      <c r="C29" t="s">
        <v>20</v>
      </c>
      <c r="D29">
        <v>0.9434863247182248</v>
      </c>
    </row>
    <row r="30" spans="2:19" x14ac:dyDescent="0.25">
      <c r="C30" t="s">
        <v>21</v>
      </c>
      <c r="D30">
        <v>0.8901664449303035</v>
      </c>
    </row>
    <row r="31" spans="2:19" x14ac:dyDescent="0.25">
      <c r="C31" t="s">
        <v>22</v>
      </c>
      <c r="D31">
        <v>0.81694407488383902</v>
      </c>
    </row>
    <row r="32" spans="2:19" x14ac:dyDescent="0.25">
      <c r="C32" t="s">
        <v>23</v>
      </c>
      <c r="D32">
        <v>1.3995350652066283</v>
      </c>
    </row>
    <row r="33" spans="3:18" ht="15.75" thickBot="1" x14ac:dyDescent="0.3">
      <c r="C33" s="8" t="s">
        <v>24</v>
      </c>
      <c r="D33" s="8">
        <v>6</v>
      </c>
    </row>
    <row r="35" spans="3:18" ht="15.75" thickBot="1" x14ac:dyDescent="0.3">
      <c r="C35" t="s">
        <v>25</v>
      </c>
    </row>
    <row r="36" spans="3:18" x14ac:dyDescent="0.25">
      <c r="C36" s="9"/>
      <c r="D36" s="9" t="s">
        <v>30</v>
      </c>
      <c r="E36" s="9" t="s">
        <v>31</v>
      </c>
      <c r="F36" s="9" t="s">
        <v>32</v>
      </c>
      <c r="G36" s="9" t="s">
        <v>33</v>
      </c>
      <c r="H36" s="9" t="s">
        <v>34</v>
      </c>
      <c r="L36" s="9"/>
      <c r="M36" s="9"/>
      <c r="N36" s="9"/>
      <c r="O36" s="9"/>
    </row>
    <row r="37" spans="3:18" x14ac:dyDescent="0.25">
      <c r="C37" t="s">
        <v>26</v>
      </c>
      <c r="D37">
        <v>2</v>
      </c>
      <c r="E37">
        <v>47.623904803771239</v>
      </c>
      <c r="F37">
        <v>23.81195240188562</v>
      </c>
      <c r="G37">
        <v>12.157028574265421</v>
      </c>
      <c r="H37">
        <v>3.6400098718419691E-2</v>
      </c>
    </row>
    <row r="38" spans="3:18" x14ac:dyDescent="0.25">
      <c r="C38" t="s">
        <v>27</v>
      </c>
      <c r="D38">
        <v>3</v>
      </c>
      <c r="E38">
        <v>5.8760951962287633</v>
      </c>
      <c r="F38">
        <v>1.9586983987429212</v>
      </c>
    </row>
    <row r="39" spans="3:18" ht="15.75" thickBot="1" x14ac:dyDescent="0.3">
      <c r="C39" s="8" t="s">
        <v>28</v>
      </c>
      <c r="D39" s="8">
        <v>5</v>
      </c>
      <c r="E39" s="8">
        <v>53.5</v>
      </c>
      <c r="F39" s="8"/>
      <c r="G39" s="8"/>
      <c r="H39" s="8"/>
      <c r="L39" s="8"/>
      <c r="M39" s="8"/>
      <c r="N39" s="8"/>
      <c r="O39" s="8"/>
    </row>
    <row r="40" spans="3:18" ht="15.75" thickBot="1" x14ac:dyDescent="0.3"/>
    <row r="41" spans="3:18" x14ac:dyDescent="0.25">
      <c r="C41" s="9"/>
      <c r="D41" s="9" t="s">
        <v>35</v>
      </c>
      <c r="E41" s="9" t="s">
        <v>23</v>
      </c>
      <c r="F41" s="9" t="s">
        <v>36</v>
      </c>
      <c r="G41" s="9" t="s">
        <v>37</v>
      </c>
      <c r="H41" s="9" t="s">
        <v>38</v>
      </c>
      <c r="I41" s="9" t="s">
        <v>39</v>
      </c>
      <c r="J41" s="9" t="s">
        <v>40</v>
      </c>
      <c r="K41" s="9" t="s">
        <v>41</v>
      </c>
      <c r="L41" s="9"/>
      <c r="M41" s="9"/>
      <c r="N41" s="9"/>
      <c r="O41" s="9"/>
      <c r="P41" s="9"/>
      <c r="Q41" s="9"/>
      <c r="R41" s="9"/>
    </row>
    <row r="42" spans="3:18" x14ac:dyDescent="0.25">
      <c r="C42" t="s">
        <v>29</v>
      </c>
      <c r="D42">
        <v>49.673224629662094</v>
      </c>
      <c r="E42">
        <v>4.1404419471415901</v>
      </c>
      <c r="F42">
        <v>11.997082742327706</v>
      </c>
      <c r="G42">
        <v>1.2459093922362033E-3</v>
      </c>
      <c r="H42">
        <v>36.496490452739657</v>
      </c>
      <c r="I42">
        <v>62.849958806584532</v>
      </c>
      <c r="J42">
        <v>36.496490452739657</v>
      </c>
      <c r="K42">
        <v>62.849958806584532</v>
      </c>
    </row>
    <row r="43" spans="3:18" x14ac:dyDescent="0.25">
      <c r="C43" t="s">
        <v>42</v>
      </c>
      <c r="D43">
        <v>2.1827738471662848E-5</v>
      </c>
      <c r="E43">
        <v>8.0937268905327626E-6</v>
      </c>
      <c r="F43">
        <v>2.696871140684864</v>
      </c>
      <c r="G43">
        <v>7.3981859485080639E-2</v>
      </c>
      <c r="H43">
        <v>-3.9301127670885456E-6</v>
      </c>
      <c r="I43">
        <v>4.7585589710414241E-5</v>
      </c>
      <c r="J43">
        <v>-3.9301127670885456E-6</v>
      </c>
      <c r="K43">
        <v>4.7585589710414241E-5</v>
      </c>
    </row>
    <row r="44" spans="3:18" ht="15.75" thickBot="1" x14ac:dyDescent="0.3">
      <c r="C44" s="8" t="s">
        <v>43</v>
      </c>
      <c r="D44" s="8">
        <v>-1.4487778669642355E-3</v>
      </c>
      <c r="E44" s="8">
        <v>3.3530051571673274E-4</v>
      </c>
      <c r="F44" s="8">
        <v>-4.3208339953410224</v>
      </c>
      <c r="G44" s="8">
        <v>2.2844272317145965E-2</v>
      </c>
      <c r="H44" s="8">
        <v>-2.5158537543666739E-3</v>
      </c>
      <c r="I44" s="8">
        <v>-3.8170197956179704E-4</v>
      </c>
      <c r="J44" s="8">
        <v>-2.5158537543666739E-3</v>
      </c>
      <c r="K44" s="8">
        <v>-3.8170197956179704E-4</v>
      </c>
      <c r="L44" s="8"/>
      <c r="M44" s="8"/>
      <c r="N44" s="8"/>
      <c r="O44" s="8"/>
      <c r="P44" s="8"/>
      <c r="Q44" s="8"/>
      <c r="R44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6"/>
  <sheetViews>
    <sheetView zoomScale="90" zoomScaleNormal="90" workbookViewId="0">
      <selection activeCell="I15" sqref="I15"/>
    </sheetView>
  </sheetViews>
  <sheetFormatPr defaultRowHeight="15" x14ac:dyDescent="0.25"/>
  <cols>
    <col min="3" max="3" width="29.7109375" customWidth="1"/>
    <col min="4" max="4" width="22.28515625" customWidth="1"/>
    <col min="5" max="6" width="9.140625" customWidth="1"/>
    <col min="7" max="7" width="21.28515625" customWidth="1"/>
    <col min="8" max="8" width="15.85546875" customWidth="1"/>
  </cols>
  <sheetData>
    <row r="2" spans="2:12" x14ac:dyDescent="0.25">
      <c r="F2" s="12"/>
      <c r="H2" s="12"/>
      <c r="I2" s="15"/>
    </row>
    <row r="3" spans="2:12" ht="60" x14ac:dyDescent="0.25">
      <c r="B3" s="3" t="s">
        <v>0</v>
      </c>
      <c r="C3" s="3" t="s">
        <v>47</v>
      </c>
      <c r="D3" s="3" t="s">
        <v>2</v>
      </c>
      <c r="E3" s="3" t="s">
        <v>16</v>
      </c>
      <c r="F3" s="15" t="s">
        <v>17</v>
      </c>
      <c r="G3" s="3" t="s">
        <v>47</v>
      </c>
      <c r="H3" s="28" t="s">
        <v>44</v>
      </c>
      <c r="I3" s="2" t="s">
        <v>45</v>
      </c>
    </row>
    <row r="4" spans="2:12" ht="15.75" x14ac:dyDescent="0.25">
      <c r="B4" s="19">
        <v>2015</v>
      </c>
      <c r="C4" s="26">
        <v>872584</v>
      </c>
      <c r="D4" s="51">
        <v>21328.570712000001</v>
      </c>
      <c r="E4" s="45">
        <v>127924</v>
      </c>
      <c r="F4" s="19">
        <v>1.9</v>
      </c>
      <c r="G4" s="26">
        <v>872584</v>
      </c>
      <c r="H4" s="29">
        <f>(D4+E4)+(G4*0.019)</f>
        <v>165831.66671200001</v>
      </c>
      <c r="I4" s="16">
        <v>121</v>
      </c>
    </row>
    <row r="5" spans="2:12" ht="15.75" x14ac:dyDescent="0.25">
      <c r="B5" s="19">
        <v>2016</v>
      </c>
      <c r="C5" s="4">
        <v>972692</v>
      </c>
      <c r="D5" s="51">
        <v>20665.814231999997</v>
      </c>
      <c r="E5" s="45">
        <v>141273</v>
      </c>
      <c r="F5" s="19">
        <v>1.9</v>
      </c>
      <c r="G5" s="4">
        <v>972692</v>
      </c>
      <c r="H5" s="29">
        <f t="shared" ref="H5:H9" si="0">(D5+E5)+(G5*0.019)</f>
        <v>180419.96223200002</v>
      </c>
      <c r="I5" s="16">
        <v>129</v>
      </c>
    </row>
    <row r="6" spans="2:12" ht="15.75" x14ac:dyDescent="0.25">
      <c r="B6" s="19">
        <v>2017</v>
      </c>
      <c r="C6" s="4">
        <v>1030577</v>
      </c>
      <c r="D6" s="51">
        <v>21700.859888999999</v>
      </c>
      <c r="E6" s="45">
        <v>147638</v>
      </c>
      <c r="F6" s="19">
        <v>1.9</v>
      </c>
      <c r="G6" s="4">
        <v>1030577</v>
      </c>
      <c r="H6" s="29">
        <f t="shared" si="0"/>
        <v>188919.822889</v>
      </c>
      <c r="I6" s="16">
        <v>131</v>
      </c>
    </row>
    <row r="7" spans="2:12" ht="15.75" x14ac:dyDescent="0.25">
      <c r="B7" s="19">
        <v>2018</v>
      </c>
      <c r="C7" s="47">
        <v>1078384</v>
      </c>
      <c r="D7" s="51">
        <v>22341.959712</v>
      </c>
      <c r="E7" s="45">
        <v>188594</v>
      </c>
      <c r="F7" s="19">
        <v>1.9</v>
      </c>
      <c r="G7" s="47">
        <v>1078384</v>
      </c>
      <c r="H7" s="29">
        <f t="shared" si="0"/>
        <v>231425.25571200001</v>
      </c>
      <c r="I7" s="16">
        <v>136</v>
      </c>
    </row>
    <row r="8" spans="2:12" ht="15.75" x14ac:dyDescent="0.25">
      <c r="B8" s="19">
        <v>2019</v>
      </c>
      <c r="C8" s="13">
        <v>1136156</v>
      </c>
      <c r="D8" s="51">
        <v>21672.175700000003</v>
      </c>
      <c r="E8" s="45">
        <v>192549</v>
      </c>
      <c r="F8" s="19">
        <v>1.9</v>
      </c>
      <c r="G8" s="13">
        <v>1136156</v>
      </c>
      <c r="H8" s="29">
        <f t="shared" si="0"/>
        <v>235808.1397</v>
      </c>
      <c r="I8" s="16">
        <v>130</v>
      </c>
    </row>
    <row r="9" spans="2:12" ht="15.75" x14ac:dyDescent="0.25">
      <c r="B9" s="19">
        <v>2022</v>
      </c>
      <c r="C9" s="14">
        <v>1354556</v>
      </c>
      <c r="D9" s="51">
        <v>35596.377123999999</v>
      </c>
      <c r="E9" s="45">
        <v>181105</v>
      </c>
      <c r="F9" s="19">
        <v>1.9</v>
      </c>
      <c r="G9" s="14">
        <v>1354556</v>
      </c>
      <c r="H9" s="29">
        <f t="shared" si="0"/>
        <v>242437.941124</v>
      </c>
      <c r="I9" s="16">
        <v>159</v>
      </c>
      <c r="K9" t="s">
        <v>18</v>
      </c>
    </row>
    <row r="10" spans="2:12" ht="15.75" thickBot="1" x14ac:dyDescent="0.3">
      <c r="B10" s="33">
        <v>2023</v>
      </c>
      <c r="C10" s="12">
        <v>1379000</v>
      </c>
      <c r="D10" s="25"/>
      <c r="E10" s="25"/>
      <c r="F10" s="25"/>
      <c r="G10" s="12">
        <v>1379000</v>
      </c>
      <c r="H10" s="27">
        <f>$L$25+$L$26*G10</f>
        <v>260663.17318726759</v>
      </c>
      <c r="I10" s="83">
        <f>$D$44+$D$45*G10+$D$46*H10</f>
        <v>156.92745576329369</v>
      </c>
    </row>
    <row r="11" spans="2:12" x14ac:dyDescent="0.25">
      <c r="B11" s="20">
        <v>2024</v>
      </c>
      <c r="C11" s="12">
        <v>1434000</v>
      </c>
      <c r="D11" s="25"/>
      <c r="E11" s="25"/>
      <c r="F11" s="25"/>
      <c r="G11" s="12">
        <v>1434000</v>
      </c>
      <c r="H11" s="27">
        <f t="shared" ref="H11:H17" si="1">$L$25+$L$26*G11</f>
        <v>270259.67639658396</v>
      </c>
      <c r="I11" s="83">
        <f t="shared" ref="I11:I17" si="2">$D$44+$D$45*G11+$D$46*H11</f>
        <v>161.00391967921888</v>
      </c>
      <c r="K11" s="10" t="s">
        <v>19</v>
      </c>
      <c r="L11" s="10"/>
    </row>
    <row r="12" spans="2:12" x14ac:dyDescent="0.25">
      <c r="B12" s="20">
        <v>2025</v>
      </c>
      <c r="C12" s="12">
        <v>1490000</v>
      </c>
      <c r="D12" s="25"/>
      <c r="E12" s="25"/>
      <c r="F12" s="25"/>
      <c r="G12" s="12">
        <v>1490000</v>
      </c>
      <c r="H12" s="27">
        <f t="shared" si="1"/>
        <v>280030.66148243332</v>
      </c>
      <c r="I12" s="83">
        <f t="shared" si="2"/>
        <v>165.1545011208882</v>
      </c>
      <c r="K12" t="s">
        <v>20</v>
      </c>
      <c r="L12">
        <v>0.87266977481613994</v>
      </c>
    </row>
    <row r="13" spans="2:12" x14ac:dyDescent="0.25">
      <c r="B13" s="20">
        <v>2026</v>
      </c>
      <c r="C13" s="12">
        <v>1545000</v>
      </c>
      <c r="D13" s="25"/>
      <c r="E13" s="25"/>
      <c r="F13" s="25"/>
      <c r="G13" s="12">
        <v>1545000</v>
      </c>
      <c r="H13" s="27">
        <f t="shared" si="1"/>
        <v>289627.16469174973</v>
      </c>
      <c r="I13" s="83">
        <f t="shared" si="2"/>
        <v>169.23096503681339</v>
      </c>
      <c r="K13" t="s">
        <v>21</v>
      </c>
      <c r="L13">
        <v>0.76155253587765237</v>
      </c>
    </row>
    <row r="14" spans="2:12" x14ac:dyDescent="0.25">
      <c r="B14" s="20">
        <v>2027</v>
      </c>
      <c r="C14" s="12">
        <v>1601000</v>
      </c>
      <c r="D14" s="25"/>
      <c r="E14" s="25"/>
      <c r="F14" s="25"/>
      <c r="G14" s="12">
        <v>1601000</v>
      </c>
      <c r="H14" s="27">
        <f t="shared" si="1"/>
        <v>299398.14977759914</v>
      </c>
      <c r="I14" s="83">
        <f t="shared" si="2"/>
        <v>173.3815464784827</v>
      </c>
      <c r="K14" t="s">
        <v>22</v>
      </c>
      <c r="L14">
        <v>0.70194066984706549</v>
      </c>
    </row>
    <row r="15" spans="2:12" x14ac:dyDescent="0.25">
      <c r="B15" s="20">
        <v>2028</v>
      </c>
      <c r="C15" s="12">
        <v>1656000</v>
      </c>
      <c r="D15" s="25"/>
      <c r="E15" s="25"/>
      <c r="F15" s="25"/>
      <c r="G15" s="12">
        <v>1656000</v>
      </c>
      <c r="H15" s="27">
        <f t="shared" si="1"/>
        <v>308994.65298691543</v>
      </c>
      <c r="I15" s="83">
        <f t="shared" si="2"/>
        <v>177.45801039440795</v>
      </c>
      <c r="K15" t="s">
        <v>23</v>
      </c>
      <c r="L15">
        <v>17957.005207497132</v>
      </c>
    </row>
    <row r="16" spans="2:12" ht="15.75" thickBot="1" x14ac:dyDescent="0.3">
      <c r="B16" s="20">
        <v>2029</v>
      </c>
      <c r="C16" s="12">
        <v>1712000</v>
      </c>
      <c r="D16" s="25"/>
      <c r="E16" s="25"/>
      <c r="F16" s="25"/>
      <c r="G16" s="12">
        <v>1712000</v>
      </c>
      <c r="H16" s="27">
        <f t="shared" si="1"/>
        <v>318765.63807276485</v>
      </c>
      <c r="I16" s="83">
        <f t="shared" si="2"/>
        <v>181.60859183607721</v>
      </c>
      <c r="K16" s="8" t="s">
        <v>24</v>
      </c>
      <c r="L16" s="8">
        <v>6</v>
      </c>
    </row>
    <row r="17" spans="2:19" x14ac:dyDescent="0.25">
      <c r="B17" s="20">
        <v>2030</v>
      </c>
      <c r="C17" s="12">
        <v>1768000</v>
      </c>
      <c r="D17" s="25"/>
      <c r="E17" s="25"/>
      <c r="F17" s="25"/>
      <c r="G17" s="12">
        <v>1768000</v>
      </c>
      <c r="H17" s="27">
        <f t="shared" si="1"/>
        <v>328536.62315861427</v>
      </c>
      <c r="I17" s="83">
        <f t="shared" si="2"/>
        <v>185.75917327774653</v>
      </c>
    </row>
    <row r="18" spans="2:19" ht="15.75" thickBot="1" x14ac:dyDescent="0.3">
      <c r="K18" t="s">
        <v>25</v>
      </c>
    </row>
    <row r="19" spans="2:19" x14ac:dyDescent="0.25">
      <c r="K19" s="9"/>
      <c r="L19" s="9" t="s">
        <v>30</v>
      </c>
      <c r="M19" s="9" t="s">
        <v>31</v>
      </c>
      <c r="N19" s="9" t="s">
        <v>32</v>
      </c>
      <c r="O19" s="9" t="s">
        <v>33</v>
      </c>
      <c r="P19" s="9" t="s">
        <v>34</v>
      </c>
    </row>
    <row r="20" spans="2:19" ht="26.25" x14ac:dyDescent="0.25">
      <c r="B20" s="5" t="s">
        <v>4</v>
      </c>
      <c r="K20" t="s">
        <v>26</v>
      </c>
      <c r="L20">
        <v>1</v>
      </c>
      <c r="M20">
        <v>4119409526.797874</v>
      </c>
      <c r="N20">
        <v>4119409526.797874</v>
      </c>
      <c r="O20">
        <v>12.775183643586987</v>
      </c>
      <c r="P20">
        <v>2.32872777732957E-2</v>
      </c>
    </row>
    <row r="21" spans="2:19" x14ac:dyDescent="0.25">
      <c r="K21" t="s">
        <v>27</v>
      </c>
      <c r="L21">
        <v>4</v>
      </c>
      <c r="M21">
        <v>1289816144.0883164</v>
      </c>
      <c r="N21">
        <v>322454036.02207911</v>
      </c>
    </row>
    <row r="22" spans="2:19" ht="15.75" thickBot="1" x14ac:dyDescent="0.3">
      <c r="K22" s="8" t="s">
        <v>28</v>
      </c>
      <c r="L22" s="8">
        <v>5</v>
      </c>
      <c r="M22" s="8">
        <v>5409225670.8861904</v>
      </c>
      <c r="N22" s="8"/>
      <c r="O22" s="8"/>
      <c r="P22" s="8"/>
    </row>
    <row r="23" spans="2:19" ht="15.75" thickBot="1" x14ac:dyDescent="0.3"/>
    <row r="24" spans="2:19" x14ac:dyDescent="0.25">
      <c r="C24" s="10"/>
      <c r="D24" s="10"/>
      <c r="K24" s="9"/>
      <c r="L24" s="9" t="s">
        <v>35</v>
      </c>
      <c r="M24" s="9" t="s">
        <v>23</v>
      </c>
      <c r="N24" s="9" t="s">
        <v>36</v>
      </c>
      <c r="O24" s="9" t="s">
        <v>37</v>
      </c>
      <c r="P24" s="9" t="s">
        <v>38</v>
      </c>
      <c r="Q24" s="9" t="s">
        <v>39</v>
      </c>
      <c r="R24" s="9" t="s">
        <v>40</v>
      </c>
      <c r="S24" s="9" t="s">
        <v>41</v>
      </c>
    </row>
    <row r="25" spans="2:19" x14ac:dyDescent="0.25">
      <c r="K25" t="s">
        <v>29</v>
      </c>
      <c r="L25">
        <v>20052.665448226238</v>
      </c>
      <c r="M25">
        <v>52946.625554278682</v>
      </c>
      <c r="N25">
        <v>0.37873358761398457</v>
      </c>
      <c r="O25">
        <v>0.72413034189196068</v>
      </c>
      <c r="P25">
        <v>-126950.73390869121</v>
      </c>
      <c r="Q25">
        <v>167056.06480514369</v>
      </c>
      <c r="R25">
        <v>-126950.73390869121</v>
      </c>
      <c r="S25">
        <v>167056.06480514369</v>
      </c>
    </row>
    <row r="26" spans="2:19" ht="15.75" thickBot="1" x14ac:dyDescent="0.3">
      <c r="K26" s="8" t="s">
        <v>42</v>
      </c>
      <c r="L26" s="8">
        <v>0.17448187653302491</v>
      </c>
      <c r="M26" s="8">
        <v>4.8816512241455577E-2</v>
      </c>
      <c r="N26" s="8">
        <v>3.5742388901117104</v>
      </c>
      <c r="O26" s="8">
        <v>2.3287277773295686E-2</v>
      </c>
      <c r="P26" s="8">
        <v>3.8945510067407402E-2</v>
      </c>
      <c r="Q26" s="8">
        <v>0.31001824299864245</v>
      </c>
      <c r="R26" s="8">
        <v>3.8945510067407402E-2</v>
      </c>
      <c r="S26" s="8">
        <v>0.31001824299864245</v>
      </c>
    </row>
    <row r="28" spans="2:19" x14ac:dyDescent="0.25">
      <c r="C28" t="s">
        <v>18</v>
      </c>
    </row>
    <row r="29" spans="2:19" ht="15.75" thickBot="1" x14ac:dyDescent="0.3"/>
    <row r="30" spans="2:19" x14ac:dyDescent="0.25">
      <c r="C30" s="10" t="s">
        <v>19</v>
      </c>
      <c r="D30" s="10"/>
    </row>
    <row r="31" spans="2:19" x14ac:dyDescent="0.25">
      <c r="C31" t="s">
        <v>20</v>
      </c>
      <c r="D31">
        <v>0.95769755000463397</v>
      </c>
    </row>
    <row r="32" spans="2:19" x14ac:dyDescent="0.25">
      <c r="C32" t="s">
        <v>21</v>
      </c>
      <c r="D32">
        <v>0.91718459728487833</v>
      </c>
    </row>
    <row r="33" spans="3:19" ht="15.75" thickBot="1" x14ac:dyDescent="0.3">
      <c r="C33" t="s">
        <v>22</v>
      </c>
      <c r="D33">
        <v>0.86197432880813063</v>
      </c>
      <c r="L33" s="8"/>
    </row>
    <row r="34" spans="3:19" x14ac:dyDescent="0.25">
      <c r="C34" t="s">
        <v>23</v>
      </c>
      <c r="D34">
        <v>4.8363984959177522</v>
      </c>
    </row>
    <row r="35" spans="3:19" ht="15.75" thickBot="1" x14ac:dyDescent="0.3">
      <c r="C35" s="8" t="s">
        <v>24</v>
      </c>
      <c r="D35" s="8">
        <v>6</v>
      </c>
    </row>
    <row r="36" spans="3:19" x14ac:dyDescent="0.25">
      <c r="L36" s="9"/>
      <c r="M36" s="9"/>
      <c r="N36" s="9"/>
      <c r="O36" s="9"/>
      <c r="P36" s="9"/>
    </row>
    <row r="37" spans="3:19" ht="15.75" thickBot="1" x14ac:dyDescent="0.3">
      <c r="C37" t="s">
        <v>25</v>
      </c>
    </row>
    <row r="38" spans="3:19" x14ac:dyDescent="0.25">
      <c r="C38" s="9"/>
      <c r="D38" s="9" t="s">
        <v>30</v>
      </c>
      <c r="E38" s="9" t="s">
        <v>31</v>
      </c>
      <c r="F38" s="9" t="s">
        <v>32</v>
      </c>
      <c r="G38" s="9" t="s">
        <v>33</v>
      </c>
      <c r="H38" s="9" t="s">
        <v>34</v>
      </c>
    </row>
    <row r="39" spans="3:19" ht="15.75" thickBot="1" x14ac:dyDescent="0.3">
      <c r="C39" t="s">
        <v>26</v>
      </c>
      <c r="D39">
        <v>2</v>
      </c>
      <c r="E39">
        <v>777.16108209938693</v>
      </c>
      <c r="F39">
        <v>388.58054104969347</v>
      </c>
      <c r="G39">
        <v>16.612572671534039</v>
      </c>
      <c r="H39">
        <v>2.383233951139278E-2</v>
      </c>
      <c r="L39" s="8"/>
      <c r="M39" s="8"/>
      <c r="N39" s="8"/>
      <c r="O39" s="8"/>
      <c r="P39" s="8"/>
    </row>
    <row r="40" spans="3:19" ht="15.75" thickBot="1" x14ac:dyDescent="0.3">
      <c r="C40" t="s">
        <v>27</v>
      </c>
      <c r="D40">
        <v>3</v>
      </c>
      <c r="E40">
        <v>70.172251233946497</v>
      </c>
      <c r="F40">
        <v>23.390750411315498</v>
      </c>
    </row>
    <row r="41" spans="3:19" ht="15.75" thickBot="1" x14ac:dyDescent="0.3">
      <c r="C41" s="8" t="s">
        <v>28</v>
      </c>
      <c r="D41" s="8">
        <v>5</v>
      </c>
      <c r="E41" s="8">
        <v>847.33333333333348</v>
      </c>
      <c r="F41" s="8"/>
      <c r="G41" s="8"/>
      <c r="H41" s="8"/>
      <c r="L41" s="9"/>
      <c r="M41" s="9"/>
      <c r="N41" s="9"/>
      <c r="O41" s="9"/>
      <c r="P41" s="9"/>
      <c r="Q41" s="9"/>
      <c r="R41" s="9"/>
      <c r="S41" s="9"/>
    </row>
    <row r="42" spans="3:19" ht="15.75" thickBot="1" x14ac:dyDescent="0.3"/>
    <row r="43" spans="3:19" x14ac:dyDescent="0.25">
      <c r="C43" s="9"/>
      <c r="D43" s="9" t="s">
        <v>35</v>
      </c>
      <c r="E43" s="9" t="s">
        <v>23</v>
      </c>
      <c r="F43" s="9" t="s">
        <v>36</v>
      </c>
      <c r="G43" s="9" t="s">
        <v>37</v>
      </c>
      <c r="H43" s="9" t="s">
        <v>38</v>
      </c>
      <c r="I43" s="9" t="s">
        <v>39</v>
      </c>
      <c r="J43" s="9" t="s">
        <v>40</v>
      </c>
      <c r="K43" s="9" t="s">
        <v>41</v>
      </c>
    </row>
    <row r="44" spans="3:19" ht="15.75" thickBot="1" x14ac:dyDescent="0.3">
      <c r="C44" t="s">
        <v>29</v>
      </c>
      <c r="D44">
        <v>57.967467650502726</v>
      </c>
      <c r="E44">
        <v>14.513659873715369</v>
      </c>
      <c r="F44">
        <v>3.9939938068607614</v>
      </c>
      <c r="G44">
        <v>2.8118808777731961E-2</v>
      </c>
      <c r="H44">
        <v>11.778524409252825</v>
      </c>
      <c r="I44">
        <v>104.15641089175263</v>
      </c>
      <c r="J44">
        <v>11.778524409252825</v>
      </c>
      <c r="K44">
        <v>104.15641089175263</v>
      </c>
      <c r="L44" s="8"/>
      <c r="M44" s="8"/>
      <c r="N44" s="8"/>
      <c r="O44" s="8"/>
      <c r="P44" s="8"/>
      <c r="Q44" s="8"/>
      <c r="R44" s="8"/>
      <c r="S44" s="8"/>
    </row>
    <row r="45" spans="3:19" x14ac:dyDescent="0.25">
      <c r="C45" t="s">
        <v>42</v>
      </c>
      <c r="D45">
        <v>1.0237965755423844E-4</v>
      </c>
      <c r="E45">
        <v>2.6925176709967796E-5</v>
      </c>
      <c r="F45">
        <v>3.8023764396070661</v>
      </c>
      <c r="G45">
        <v>3.1952950255283948E-2</v>
      </c>
      <c r="H45">
        <v>1.6691728414490448E-5</v>
      </c>
      <c r="I45">
        <v>1.8806758669398643E-4</v>
      </c>
      <c r="J45">
        <v>1.6691728414490448E-5</v>
      </c>
      <c r="K45">
        <v>1.8806758669398643E-4</v>
      </c>
    </row>
    <row r="46" spans="3:19" ht="15.75" thickBot="1" x14ac:dyDescent="0.3">
      <c r="C46" s="8" t="s">
        <v>43</v>
      </c>
      <c r="D46" s="8">
        <v>-1.6197746362955044E-4</v>
      </c>
      <c r="E46" s="8">
        <v>1.3466606597347685E-4</v>
      </c>
      <c r="F46" s="8">
        <v>-1.20280831298252</v>
      </c>
      <c r="G46" s="8">
        <v>0.31532106557869116</v>
      </c>
      <c r="H46" s="8">
        <v>-5.9054498773393406E-4</v>
      </c>
      <c r="I46" s="8">
        <v>2.6659006047483318E-4</v>
      </c>
      <c r="J46" s="8">
        <v>-5.9054498773393406E-4</v>
      </c>
      <c r="K46" s="8">
        <v>2.6659006047483318E-4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5"/>
  <sheetViews>
    <sheetView workbookViewId="0">
      <selection activeCell="I15" sqref="I15"/>
    </sheetView>
  </sheetViews>
  <sheetFormatPr defaultRowHeight="15" x14ac:dyDescent="0.25"/>
  <cols>
    <col min="2" max="2" width="13.7109375" customWidth="1"/>
    <col min="3" max="3" width="27.7109375" customWidth="1"/>
    <col min="4" max="4" width="24.7109375" customWidth="1"/>
    <col min="5" max="6" width="9.140625" customWidth="1"/>
    <col min="7" max="7" width="22" customWidth="1"/>
    <col min="8" max="8" width="16.140625" customWidth="1"/>
  </cols>
  <sheetData>
    <row r="2" spans="2:17" x14ac:dyDescent="0.25">
      <c r="F2" s="12"/>
      <c r="H2" s="12"/>
      <c r="I2" s="15"/>
    </row>
    <row r="3" spans="2:17" ht="60" x14ac:dyDescent="0.25">
      <c r="B3" s="19" t="s">
        <v>0</v>
      </c>
      <c r="C3" s="3" t="s">
        <v>47</v>
      </c>
      <c r="D3" s="19" t="s">
        <v>2</v>
      </c>
      <c r="E3" s="19" t="s">
        <v>16</v>
      </c>
      <c r="F3" s="20" t="s">
        <v>17</v>
      </c>
      <c r="G3" s="3" t="s">
        <v>47</v>
      </c>
      <c r="H3" s="19" t="s">
        <v>44</v>
      </c>
      <c r="I3" s="2" t="s">
        <v>45</v>
      </c>
    </row>
    <row r="4" spans="2:17" ht="15.75" x14ac:dyDescent="0.25">
      <c r="B4" s="19">
        <v>2015</v>
      </c>
      <c r="C4" s="26">
        <v>872584</v>
      </c>
      <c r="D4" s="51">
        <v>32722.772583999998</v>
      </c>
      <c r="E4" s="45">
        <v>65772</v>
      </c>
      <c r="F4" s="19">
        <v>1.9</v>
      </c>
      <c r="G4" s="26">
        <v>872584</v>
      </c>
      <c r="H4" s="29">
        <f>(D4+E4)+(G4*0.019)</f>
        <v>115073.868584</v>
      </c>
      <c r="I4" s="20">
        <v>132</v>
      </c>
    </row>
    <row r="5" spans="2:17" ht="15.75" x14ac:dyDescent="0.25">
      <c r="B5" s="19">
        <v>2016</v>
      </c>
      <c r="C5" s="4">
        <v>972692</v>
      </c>
      <c r="D5" s="51">
        <v>30677.732987999996</v>
      </c>
      <c r="E5" s="45">
        <v>77337</v>
      </c>
      <c r="F5" s="19">
        <v>1.9</v>
      </c>
      <c r="G5" s="4">
        <v>972692</v>
      </c>
      <c r="H5" s="29">
        <f t="shared" ref="H5:H9" si="0">(D5+E5)+(G5*0.019)</f>
        <v>126495.880988</v>
      </c>
      <c r="I5" s="20">
        <v>134</v>
      </c>
      <c r="L5" t="s">
        <v>18</v>
      </c>
    </row>
    <row r="6" spans="2:17" ht="16.5" thickBot="1" x14ac:dyDescent="0.3">
      <c r="B6" s="19">
        <v>2017</v>
      </c>
      <c r="C6" s="4">
        <v>1030577</v>
      </c>
      <c r="D6" s="51">
        <v>29889.824731000001</v>
      </c>
      <c r="E6" s="45">
        <v>69343</v>
      </c>
      <c r="F6" s="19">
        <v>1.9</v>
      </c>
      <c r="G6" s="4">
        <v>1030577</v>
      </c>
      <c r="H6" s="29">
        <f t="shared" si="0"/>
        <v>118813.787731</v>
      </c>
      <c r="I6" s="20">
        <v>147</v>
      </c>
    </row>
    <row r="7" spans="2:17" ht="15.75" x14ac:dyDescent="0.25">
      <c r="B7" s="19">
        <v>2018</v>
      </c>
      <c r="C7" s="47">
        <v>1078384</v>
      </c>
      <c r="D7" s="51">
        <v>35746.272832000002</v>
      </c>
      <c r="E7" s="45">
        <v>67524</v>
      </c>
      <c r="F7" s="19">
        <v>1.9</v>
      </c>
      <c r="G7" s="47">
        <v>1078384</v>
      </c>
      <c r="H7" s="29">
        <f t="shared" si="0"/>
        <v>123759.568832</v>
      </c>
      <c r="I7" s="20">
        <v>134</v>
      </c>
      <c r="L7" s="10" t="s">
        <v>19</v>
      </c>
      <c r="M7" s="10"/>
    </row>
    <row r="8" spans="2:17" ht="15.75" x14ac:dyDescent="0.25">
      <c r="B8" s="19">
        <v>2019</v>
      </c>
      <c r="C8" s="13">
        <v>1136156</v>
      </c>
      <c r="D8" s="51">
        <v>37321.588444000001</v>
      </c>
      <c r="E8" s="45">
        <v>76490</v>
      </c>
      <c r="F8" s="19">
        <v>1.9</v>
      </c>
      <c r="G8" s="13">
        <v>1136156</v>
      </c>
      <c r="H8" s="29">
        <f t="shared" si="0"/>
        <v>135398.552444</v>
      </c>
      <c r="I8" s="20">
        <v>135</v>
      </c>
      <c r="L8" t="s">
        <v>20</v>
      </c>
      <c r="M8">
        <v>0.94507490783388559</v>
      </c>
    </row>
    <row r="9" spans="2:17" ht="15.75" x14ac:dyDescent="0.25">
      <c r="B9" s="19">
        <v>2022</v>
      </c>
      <c r="C9" s="14">
        <v>1354556</v>
      </c>
      <c r="D9" s="51">
        <v>51516.473791999997</v>
      </c>
      <c r="E9" s="45">
        <v>133454</v>
      </c>
      <c r="F9" s="19">
        <v>1.9</v>
      </c>
      <c r="G9" s="14">
        <v>1354556</v>
      </c>
      <c r="H9" s="29">
        <f t="shared" si="0"/>
        <v>210707.03779199999</v>
      </c>
      <c r="I9" s="20">
        <v>191</v>
      </c>
      <c r="L9" t="s">
        <v>21</v>
      </c>
      <c r="M9">
        <v>0.89316658141722727</v>
      </c>
    </row>
    <row r="10" spans="2:17" x14ac:dyDescent="0.25">
      <c r="B10" s="20">
        <v>2023</v>
      </c>
      <c r="C10" s="12">
        <v>1379000</v>
      </c>
      <c r="D10" s="20"/>
      <c r="E10" s="20"/>
      <c r="F10" s="20"/>
      <c r="G10" s="12">
        <v>1379000</v>
      </c>
      <c r="H10" s="21">
        <f>$M$44+$M$45*G10</f>
        <v>198730.16095079054</v>
      </c>
      <c r="I10" s="81">
        <f>$M$21+$M$22*G10+$M$23*H10</f>
        <v>181.27876976732912</v>
      </c>
      <c r="L10" t="s">
        <v>22</v>
      </c>
      <c r="M10">
        <v>0.82194430236204552</v>
      </c>
    </row>
    <row r="11" spans="2:17" x14ac:dyDescent="0.25">
      <c r="B11" s="20">
        <v>2024</v>
      </c>
      <c r="C11" s="12">
        <v>1434000</v>
      </c>
      <c r="D11" s="20"/>
      <c r="E11" s="20"/>
      <c r="F11" s="20"/>
      <c r="G11" s="12">
        <v>1434000</v>
      </c>
      <c r="H11" s="21">
        <f t="shared" ref="H11:H17" si="1">$M$44+$M$45*G11</f>
        <v>209619.5646980649</v>
      </c>
      <c r="I11" s="81">
        <f t="shared" ref="I11:I17" si="2">$M$21+$M$22*G11+$M$23*H11</f>
        <v>187.73402663180076</v>
      </c>
      <c r="L11" t="s">
        <v>23</v>
      </c>
      <c r="M11">
        <v>9.6767500426434623</v>
      </c>
    </row>
    <row r="12" spans="2:17" ht="15.75" thickBot="1" x14ac:dyDescent="0.3">
      <c r="B12" s="20">
        <v>2025</v>
      </c>
      <c r="C12" s="12">
        <v>1490000</v>
      </c>
      <c r="D12" s="20"/>
      <c r="E12" s="20"/>
      <c r="F12" s="20"/>
      <c r="G12" s="12">
        <v>1490000</v>
      </c>
      <c r="H12" s="21">
        <f t="shared" si="1"/>
        <v>220706.95760438059</v>
      </c>
      <c r="I12" s="81">
        <f t="shared" si="2"/>
        <v>194.30665180289907</v>
      </c>
      <c r="L12" s="8" t="s">
        <v>24</v>
      </c>
      <c r="M12" s="8">
        <v>6</v>
      </c>
    </row>
    <row r="13" spans="2:17" x14ac:dyDescent="0.25">
      <c r="B13" s="20">
        <v>2026</v>
      </c>
      <c r="C13" s="12">
        <v>1545000</v>
      </c>
      <c r="D13" s="20"/>
      <c r="E13" s="20"/>
      <c r="F13" s="20"/>
      <c r="G13" s="12">
        <v>1545000</v>
      </c>
      <c r="H13" s="21">
        <f t="shared" si="1"/>
        <v>231596.36135165495</v>
      </c>
      <c r="I13" s="81">
        <f t="shared" si="2"/>
        <v>200.76190866737068</v>
      </c>
    </row>
    <row r="14" spans="2:17" ht="15.75" thickBot="1" x14ac:dyDescent="0.3">
      <c r="B14" s="20">
        <v>2027</v>
      </c>
      <c r="C14" s="12">
        <v>1601000</v>
      </c>
      <c r="D14" s="20"/>
      <c r="E14" s="20"/>
      <c r="F14" s="20"/>
      <c r="G14" s="12">
        <v>1601000</v>
      </c>
      <c r="H14" s="21">
        <f t="shared" si="1"/>
        <v>242683.75425797064</v>
      </c>
      <c r="I14" s="81">
        <f t="shared" si="2"/>
        <v>207.33453383846899</v>
      </c>
      <c r="L14" t="s">
        <v>25</v>
      </c>
    </row>
    <row r="15" spans="2:17" x14ac:dyDescent="0.25">
      <c r="B15" s="20">
        <v>2028</v>
      </c>
      <c r="C15" s="12">
        <v>1656000</v>
      </c>
      <c r="D15" s="20"/>
      <c r="E15" s="20"/>
      <c r="F15" s="20"/>
      <c r="G15" s="12">
        <v>1656000</v>
      </c>
      <c r="H15" s="21">
        <f t="shared" si="1"/>
        <v>253573.158005245</v>
      </c>
      <c r="I15" s="81">
        <f t="shared" si="2"/>
        <v>213.78979070294059</v>
      </c>
      <c r="L15" s="9"/>
      <c r="M15" s="9" t="s">
        <v>30</v>
      </c>
      <c r="N15" s="9" t="s">
        <v>31</v>
      </c>
      <c r="O15" s="9" t="s">
        <v>32</v>
      </c>
      <c r="P15" s="9" t="s">
        <v>33</v>
      </c>
      <c r="Q15" s="9" t="s">
        <v>34</v>
      </c>
    </row>
    <row r="16" spans="2:17" x14ac:dyDescent="0.25">
      <c r="B16" s="20">
        <v>2029</v>
      </c>
      <c r="C16" s="12">
        <v>1712000</v>
      </c>
      <c r="D16" s="20"/>
      <c r="E16" s="20"/>
      <c r="F16" s="20"/>
      <c r="G16" s="12">
        <v>1712000</v>
      </c>
      <c r="H16" s="21">
        <f t="shared" si="1"/>
        <v>264660.55091156077</v>
      </c>
      <c r="I16" s="81">
        <f t="shared" si="2"/>
        <v>220.36241587403899</v>
      </c>
      <c r="L16" t="s">
        <v>26</v>
      </c>
      <c r="M16">
        <v>2</v>
      </c>
      <c r="N16">
        <v>2348.5815258365992</v>
      </c>
      <c r="O16">
        <v>1174.2907629182996</v>
      </c>
      <c r="P16">
        <v>12.540550418573623</v>
      </c>
      <c r="Q16">
        <v>3.4918910793254626E-2</v>
      </c>
    </row>
    <row r="17" spans="2:20" x14ac:dyDescent="0.25">
      <c r="B17" s="20">
        <v>2030</v>
      </c>
      <c r="C17" s="12">
        <v>1768000</v>
      </c>
      <c r="D17" s="20"/>
      <c r="E17" s="20"/>
      <c r="F17" s="20"/>
      <c r="G17" s="12">
        <v>1768000</v>
      </c>
      <c r="H17" s="21">
        <f t="shared" si="1"/>
        <v>275747.9438178764</v>
      </c>
      <c r="I17" s="81">
        <f t="shared" si="2"/>
        <v>226.9350410451373</v>
      </c>
      <c r="L17" t="s">
        <v>27</v>
      </c>
      <c r="M17">
        <v>3</v>
      </c>
      <c r="N17">
        <v>280.91847416340073</v>
      </c>
      <c r="O17">
        <v>93.639491387800248</v>
      </c>
    </row>
    <row r="18" spans="2:20" ht="15.75" thickBot="1" x14ac:dyDescent="0.3">
      <c r="L18" s="8" t="s">
        <v>28</v>
      </c>
      <c r="M18" s="8">
        <v>5</v>
      </c>
      <c r="N18" s="8">
        <v>2629.5</v>
      </c>
      <c r="O18" s="8"/>
      <c r="P18" s="8"/>
      <c r="Q18" s="8"/>
    </row>
    <row r="19" spans="2:20" ht="15.75" thickBot="1" x14ac:dyDescent="0.3"/>
    <row r="20" spans="2:20" x14ac:dyDescent="0.25">
      <c r="B20" t="s">
        <v>3</v>
      </c>
      <c r="L20" s="9"/>
      <c r="M20" s="9" t="s">
        <v>35</v>
      </c>
      <c r="N20" s="9" t="s">
        <v>23</v>
      </c>
      <c r="O20" s="9" t="s">
        <v>36</v>
      </c>
      <c r="P20" s="9" t="s">
        <v>37</v>
      </c>
      <c r="Q20" s="9" t="s">
        <v>38</v>
      </c>
      <c r="R20" s="9" t="s">
        <v>39</v>
      </c>
      <c r="S20" s="9" t="s">
        <v>40</v>
      </c>
      <c r="T20" s="9" t="s">
        <v>41</v>
      </c>
    </row>
    <row r="21" spans="2:20" x14ac:dyDescent="0.25">
      <c r="L21" t="s">
        <v>29</v>
      </c>
      <c r="M21">
        <v>66.313670676992913</v>
      </c>
      <c r="N21">
        <v>35.197081520185286</v>
      </c>
      <c r="O21">
        <v>1.884067309358092</v>
      </c>
      <c r="P21">
        <v>0.15606634280402035</v>
      </c>
      <c r="Q21">
        <v>-45.699151363690262</v>
      </c>
      <c r="R21">
        <v>178.3264927176761</v>
      </c>
      <c r="S21">
        <v>-45.699151363690262</v>
      </c>
      <c r="T21">
        <v>178.3264927176761</v>
      </c>
    </row>
    <row r="22" spans="2:20" x14ac:dyDescent="0.25">
      <c r="L22" t="s">
        <v>42</v>
      </c>
      <c r="M22">
        <v>-7.5747340601831285E-6</v>
      </c>
      <c r="N22">
        <v>6.0896266779074778E-5</v>
      </c>
      <c r="O22">
        <v>-0.12438749468277692</v>
      </c>
      <c r="P22">
        <v>0.90887504329747559</v>
      </c>
      <c r="Q22">
        <v>-2.0137383327682072E-4</v>
      </c>
      <c r="R22">
        <v>1.8622436515645447E-4</v>
      </c>
      <c r="S22">
        <v>-2.0137383327682072E-4</v>
      </c>
      <c r="T22">
        <v>1.8622436515645447E-4</v>
      </c>
    </row>
    <row r="23" spans="2:20" ht="15.75" thickBot="1" x14ac:dyDescent="0.3">
      <c r="L23" s="8" t="s">
        <v>43</v>
      </c>
      <c r="M23" s="8">
        <v>6.310600100121837E-4</v>
      </c>
      <c r="N23" s="8">
        <v>2.7739440725222666E-4</v>
      </c>
      <c r="O23" s="8">
        <v>2.274955779618077</v>
      </c>
      <c r="P23" s="8">
        <v>0.10743317417917703</v>
      </c>
      <c r="Q23" s="8">
        <v>-2.5173279645402953E-4</v>
      </c>
      <c r="R23" s="8">
        <v>1.513852816478397E-3</v>
      </c>
      <c r="S23" s="8">
        <v>-2.5173279645402953E-4</v>
      </c>
      <c r="T23" s="8">
        <v>1.513852816478397E-3</v>
      </c>
    </row>
    <row r="26" spans="2:20" ht="15.75" thickBot="1" x14ac:dyDescent="0.3"/>
    <row r="27" spans="2:20" x14ac:dyDescent="0.25">
      <c r="C27" s="10"/>
      <c r="D27" s="10"/>
    </row>
    <row r="28" spans="2:20" x14ac:dyDescent="0.25">
      <c r="L28" t="s">
        <v>18</v>
      </c>
    </row>
    <row r="29" spans="2:20" ht="15.75" thickBot="1" x14ac:dyDescent="0.3"/>
    <row r="30" spans="2:20" x14ac:dyDescent="0.25">
      <c r="L30" s="10" t="s">
        <v>19</v>
      </c>
      <c r="M30" s="10"/>
    </row>
    <row r="31" spans="2:20" x14ac:dyDescent="0.25">
      <c r="L31" t="s">
        <v>20</v>
      </c>
      <c r="M31">
        <v>0.9018793485960398</v>
      </c>
    </row>
    <row r="32" spans="2:20" ht="15.75" thickBot="1" x14ac:dyDescent="0.3">
      <c r="C32" s="8"/>
      <c r="D32" s="8"/>
      <c r="L32" t="s">
        <v>21</v>
      </c>
      <c r="M32">
        <v>0.81338635942401716</v>
      </c>
    </row>
    <row r="33" spans="3:20" x14ac:dyDescent="0.25">
      <c r="L33" t="s">
        <v>22</v>
      </c>
      <c r="M33">
        <v>0.76673294928002145</v>
      </c>
    </row>
    <row r="34" spans="3:20" ht="15.75" thickBot="1" x14ac:dyDescent="0.3">
      <c r="L34" t="s">
        <v>23</v>
      </c>
      <c r="M34">
        <v>17442.222679429644</v>
      </c>
    </row>
    <row r="35" spans="3:20" ht="15.75" thickBot="1" x14ac:dyDescent="0.3">
      <c r="C35" s="9"/>
      <c r="D35" s="9"/>
      <c r="E35" s="9"/>
      <c r="F35" s="9"/>
      <c r="L35" s="8" t="s">
        <v>24</v>
      </c>
      <c r="M35" s="8">
        <v>6</v>
      </c>
    </row>
    <row r="37" spans="3:20" ht="15.75" thickBot="1" x14ac:dyDescent="0.3">
      <c r="L37" t="s">
        <v>25</v>
      </c>
    </row>
    <row r="38" spans="3:20" ht="15.75" thickBot="1" x14ac:dyDescent="0.3">
      <c r="C38" s="8"/>
      <c r="D38" s="8"/>
      <c r="E38" s="8"/>
      <c r="F38" s="8"/>
      <c r="L38" s="9"/>
      <c r="M38" s="9" t="s">
        <v>30</v>
      </c>
      <c r="N38" s="9" t="s">
        <v>31</v>
      </c>
      <c r="O38" s="9" t="s">
        <v>32</v>
      </c>
      <c r="P38" s="9" t="s">
        <v>33</v>
      </c>
      <c r="Q38" s="9" t="s">
        <v>34</v>
      </c>
    </row>
    <row r="39" spans="3:20" ht="15.75" thickBot="1" x14ac:dyDescent="0.3">
      <c r="L39" t="s">
        <v>26</v>
      </c>
      <c r="M39">
        <v>1</v>
      </c>
      <c r="N39">
        <v>5304166450.3448353</v>
      </c>
      <c r="O39">
        <v>5304166450.3448353</v>
      </c>
      <c r="P39">
        <v>17.434660337015035</v>
      </c>
      <c r="Q39">
        <v>1.3969157103058703E-2</v>
      </c>
    </row>
    <row r="40" spans="3:20" x14ac:dyDescent="0.25">
      <c r="C40" s="9"/>
      <c r="D40" s="9"/>
      <c r="E40" s="9"/>
      <c r="F40" s="9"/>
      <c r="G40" s="9"/>
      <c r="H40" s="9"/>
      <c r="I40" s="9"/>
      <c r="L40" t="s">
        <v>27</v>
      </c>
      <c r="M40">
        <v>4</v>
      </c>
      <c r="N40">
        <v>1216924527.9952393</v>
      </c>
      <c r="O40">
        <v>304231131.99880981</v>
      </c>
    </row>
    <row r="41" spans="3:20" ht="15.75" thickBot="1" x14ac:dyDescent="0.3">
      <c r="L41" s="8" t="s">
        <v>28</v>
      </c>
      <c r="M41" s="8">
        <v>5</v>
      </c>
      <c r="N41" s="8">
        <v>6521090978.3400745</v>
      </c>
      <c r="O41" s="8"/>
      <c r="P41" s="8"/>
      <c r="Q41" s="8"/>
    </row>
    <row r="42" spans="3:20" ht="15.75" thickBot="1" x14ac:dyDescent="0.3"/>
    <row r="43" spans="3:20" ht="15.75" thickBot="1" x14ac:dyDescent="0.3">
      <c r="C43" s="8"/>
      <c r="D43" s="8"/>
      <c r="E43" s="8"/>
      <c r="F43" s="8"/>
      <c r="G43" s="8"/>
      <c r="H43" s="8"/>
      <c r="I43" s="8"/>
      <c r="L43" s="9"/>
      <c r="M43" s="9" t="s">
        <v>35</v>
      </c>
      <c r="N43" s="9" t="s">
        <v>23</v>
      </c>
      <c r="O43" s="9" t="s">
        <v>36</v>
      </c>
      <c r="P43" s="9" t="s">
        <v>37</v>
      </c>
      <c r="Q43" s="9" t="s">
        <v>38</v>
      </c>
      <c r="R43" s="9" t="s">
        <v>39</v>
      </c>
      <c r="S43" s="9" t="s">
        <v>40</v>
      </c>
      <c r="T43" s="9" t="s">
        <v>41</v>
      </c>
    </row>
    <row r="44" spans="3:20" x14ac:dyDescent="0.25">
      <c r="L44" t="s">
        <v>29</v>
      </c>
      <c r="M44">
        <v>-74296.889367233583</v>
      </c>
      <c r="N44">
        <v>51428.777926540919</v>
      </c>
      <c r="O44">
        <v>-1.444655937058366</v>
      </c>
      <c r="P44">
        <v>0.22206148014401167</v>
      </c>
      <c r="Q44">
        <v>-217086.06810768245</v>
      </c>
      <c r="R44">
        <v>68492.289373215288</v>
      </c>
      <c r="S44">
        <v>-217086.06810768245</v>
      </c>
      <c r="T44">
        <v>68492.289373215288</v>
      </c>
    </row>
    <row r="45" spans="3:20" ht="15.75" thickBot="1" x14ac:dyDescent="0.3">
      <c r="L45" s="8" t="s">
        <v>42</v>
      </c>
      <c r="M45" s="8">
        <v>0.19798915904135181</v>
      </c>
      <c r="N45" s="8">
        <v>4.7417064655807938E-2</v>
      </c>
      <c r="O45" s="8">
        <v>4.1754832459267561</v>
      </c>
      <c r="P45" s="8">
        <v>1.3969157103058696E-2</v>
      </c>
      <c r="Q45" s="8">
        <v>6.6338281974886559E-2</v>
      </c>
      <c r="R45" s="8">
        <v>0.32964003610781706</v>
      </c>
      <c r="S45" s="8">
        <v>6.6338281974886559E-2</v>
      </c>
      <c r="T45" s="8">
        <v>0.32964003610781706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0"/>
  <sheetViews>
    <sheetView zoomScale="90" zoomScaleNormal="90" workbookViewId="0">
      <selection activeCell="I17" sqref="I17"/>
    </sheetView>
  </sheetViews>
  <sheetFormatPr defaultRowHeight="15" x14ac:dyDescent="0.25"/>
  <cols>
    <col min="2" max="2" width="13.85546875" customWidth="1"/>
    <col min="3" max="3" width="20.28515625" customWidth="1"/>
    <col min="4" max="4" width="23.7109375" customWidth="1"/>
    <col min="5" max="5" width="9.140625" customWidth="1"/>
    <col min="6" max="6" width="16.28515625" customWidth="1"/>
    <col min="7" max="7" width="17.42578125" customWidth="1"/>
    <col min="8" max="8" width="15.42578125" customWidth="1"/>
  </cols>
  <sheetData>
    <row r="1" spans="2:12" x14ac:dyDescent="0.25">
      <c r="E1" s="59" t="s">
        <v>46</v>
      </c>
    </row>
    <row r="2" spans="2:12" x14ac:dyDescent="0.25">
      <c r="B2" s="78" t="s">
        <v>55</v>
      </c>
      <c r="C2" s="78"/>
      <c r="D2" s="78"/>
      <c r="E2" s="78"/>
      <c r="F2" s="79"/>
      <c r="G2" s="78"/>
      <c r="H2" s="79"/>
      <c r="I2" s="80"/>
    </row>
    <row r="3" spans="2:12" ht="57" x14ac:dyDescent="0.25">
      <c r="B3" s="75" t="s">
        <v>0</v>
      </c>
      <c r="C3" s="3" t="s">
        <v>48</v>
      </c>
      <c r="D3" s="20" t="s">
        <v>2</v>
      </c>
      <c r="E3" s="19" t="s">
        <v>16</v>
      </c>
      <c r="F3" s="20" t="s">
        <v>17</v>
      </c>
      <c r="G3" s="75" t="s">
        <v>1</v>
      </c>
      <c r="H3" s="76" t="s">
        <v>44</v>
      </c>
      <c r="I3" s="77" t="s">
        <v>45</v>
      </c>
    </row>
    <row r="4" spans="2:12" hidden="1" x14ac:dyDescent="0.25">
      <c r="B4" s="20">
        <v>2013</v>
      </c>
      <c r="C4" s="1"/>
      <c r="D4" s="21">
        <f>C4*G4/100000</f>
        <v>0</v>
      </c>
      <c r="E4" s="20"/>
      <c r="F4" s="20">
        <v>5.7</v>
      </c>
      <c r="G4" s="24">
        <v>136324</v>
      </c>
      <c r="H4" s="21" t="e">
        <f>#REF!+(F4*#REF!)</f>
        <v>#REF!</v>
      </c>
      <c r="I4" s="20"/>
    </row>
    <row r="5" spans="2:12" hidden="1" x14ac:dyDescent="0.25">
      <c r="B5" s="20">
        <v>2014</v>
      </c>
      <c r="C5" s="1"/>
      <c r="D5" s="21">
        <f>C5*G5/100000</f>
        <v>0</v>
      </c>
      <c r="E5" s="20"/>
      <c r="F5" s="20">
        <v>5.7</v>
      </c>
      <c r="G5" s="24">
        <v>136068</v>
      </c>
      <c r="H5" s="21" t="e">
        <f>#REF!+(F5*#REF!)</f>
        <v>#REF!</v>
      </c>
      <c r="I5" s="20"/>
    </row>
    <row r="6" spans="2:12" x14ac:dyDescent="0.25">
      <c r="B6" s="20">
        <v>2015</v>
      </c>
      <c r="C6" s="4">
        <v>258522</v>
      </c>
      <c r="D6" s="44">
        <v>1084.5583239999999</v>
      </c>
      <c r="E6" s="45"/>
      <c r="F6" s="20">
        <v>1.9</v>
      </c>
      <c r="G6" s="26">
        <v>258522</v>
      </c>
      <c r="H6" s="29">
        <f>(D6+E6)+(G6*0.019)</f>
        <v>5996.4763239999993</v>
      </c>
      <c r="I6" s="20">
        <v>17</v>
      </c>
    </row>
    <row r="7" spans="2:12" x14ac:dyDescent="0.25">
      <c r="B7" s="20">
        <v>2016</v>
      </c>
      <c r="C7" s="4">
        <v>298360</v>
      </c>
      <c r="D7" s="44">
        <v>1434.3837979999998</v>
      </c>
      <c r="E7" s="45"/>
      <c r="F7" s="20">
        <v>1.9</v>
      </c>
      <c r="G7" s="26">
        <v>298360</v>
      </c>
      <c r="H7" s="29">
        <f t="shared" ref="H7:H11" si="0">(D7+E7)+(G7*0.019)</f>
        <v>7103.223798</v>
      </c>
      <c r="I7" s="20">
        <v>21</v>
      </c>
    </row>
    <row r="8" spans="2:12" x14ac:dyDescent="0.25">
      <c r="B8" s="20">
        <v>2017</v>
      </c>
      <c r="C8" s="4">
        <v>322270</v>
      </c>
      <c r="D8" s="44">
        <v>1902.2623250000001</v>
      </c>
      <c r="E8" s="45"/>
      <c r="F8" s="20">
        <v>1.9</v>
      </c>
      <c r="G8" s="26">
        <v>322270</v>
      </c>
      <c r="H8" s="29">
        <f t="shared" si="0"/>
        <v>8025.3923250000007</v>
      </c>
      <c r="I8" s="20">
        <v>23</v>
      </c>
    </row>
    <row r="9" spans="2:12" x14ac:dyDescent="0.25">
      <c r="B9" s="20">
        <v>2018</v>
      </c>
      <c r="C9" s="55">
        <v>346269</v>
      </c>
      <c r="D9" s="44">
        <v>1974.3010989999998</v>
      </c>
      <c r="E9" s="45"/>
      <c r="F9" s="20">
        <v>1.9</v>
      </c>
      <c r="G9" s="72">
        <v>346269</v>
      </c>
      <c r="H9" s="29">
        <f t="shared" si="0"/>
        <v>8553.4120989999992</v>
      </c>
      <c r="I9" s="20">
        <v>22</v>
      </c>
    </row>
    <row r="10" spans="2:12" x14ac:dyDescent="0.25">
      <c r="B10" s="20">
        <v>2019</v>
      </c>
      <c r="C10" s="56">
        <v>374158</v>
      </c>
      <c r="D10" s="44">
        <v>1960.5029970000001</v>
      </c>
      <c r="E10" s="45">
        <v>3</v>
      </c>
      <c r="F10" s="20">
        <v>1.9</v>
      </c>
      <c r="G10" s="73">
        <v>374158</v>
      </c>
      <c r="H10" s="29">
        <f t="shared" si="0"/>
        <v>9072.504997</v>
      </c>
      <c r="I10" s="20">
        <v>20</v>
      </c>
    </row>
    <row r="11" spans="2:12" x14ac:dyDescent="0.25">
      <c r="B11" s="20">
        <v>2022</v>
      </c>
      <c r="C11" s="57">
        <v>444502</v>
      </c>
      <c r="D11" s="44">
        <v>2241.463788</v>
      </c>
      <c r="E11" s="45">
        <v>66</v>
      </c>
      <c r="F11" s="20">
        <v>1.9</v>
      </c>
      <c r="G11" s="74">
        <v>444502</v>
      </c>
      <c r="H11" s="29">
        <f t="shared" si="0"/>
        <v>10753.001788000001</v>
      </c>
      <c r="I11" s="20">
        <v>33</v>
      </c>
    </row>
    <row r="12" spans="2:12" x14ac:dyDescent="0.25">
      <c r="B12" s="20">
        <v>2023</v>
      </c>
      <c r="C12" s="58">
        <v>465600</v>
      </c>
      <c r="D12" s="20"/>
      <c r="E12" s="20"/>
      <c r="F12" s="20"/>
      <c r="G12" s="58">
        <v>465600</v>
      </c>
      <c r="H12" s="21">
        <f>$L$30+$L$31*G12</f>
        <v>11413.510555458344</v>
      </c>
      <c r="I12" s="81">
        <f>$D$48+$D$49*G12+$D$50*H12</f>
        <v>31.7293413806172</v>
      </c>
    </row>
    <row r="13" spans="2:12" x14ac:dyDescent="0.25">
      <c r="B13" s="20">
        <v>2024</v>
      </c>
      <c r="C13" s="58">
        <v>480700.00000000006</v>
      </c>
      <c r="D13" s="20"/>
      <c r="E13" s="20"/>
      <c r="F13" s="20"/>
      <c r="G13" s="58">
        <v>480700.00000000006</v>
      </c>
      <c r="H13" s="21">
        <f t="shared" ref="H13:H19" si="1">$L$30+$L$31*G13</f>
        <v>11795.827061412732</v>
      </c>
      <c r="I13" s="81">
        <f t="shared" ref="I13:I19" si="2">$D$48+$D$49*G13+$D$50*H13</f>
        <v>32.8248150498423</v>
      </c>
    </row>
    <row r="14" spans="2:12" x14ac:dyDescent="0.25">
      <c r="B14" s="20">
        <v>2025</v>
      </c>
      <c r="C14" s="58">
        <v>495200.00000000006</v>
      </c>
      <c r="D14" s="20"/>
      <c r="E14" s="20"/>
      <c r="F14" s="20"/>
      <c r="G14" s="58">
        <v>495200.00000000006</v>
      </c>
      <c r="H14" s="21">
        <f t="shared" si="1"/>
        <v>12162.952183024561</v>
      </c>
      <c r="I14" s="81">
        <f t="shared" si="2"/>
        <v>33.876759963998836</v>
      </c>
      <c r="K14" t="s">
        <v>18</v>
      </c>
    </row>
    <row r="15" spans="2:12" ht="15.75" thickBot="1" x14ac:dyDescent="0.3">
      <c r="B15" s="20">
        <v>2026</v>
      </c>
      <c r="C15" s="58">
        <v>508200</v>
      </c>
      <c r="D15" s="20"/>
      <c r="E15" s="20"/>
      <c r="F15" s="20"/>
      <c r="G15" s="58">
        <v>508200</v>
      </c>
      <c r="H15" s="21">
        <f t="shared" si="1"/>
        <v>12492.098843779992</v>
      </c>
      <c r="I15" s="81">
        <f t="shared" si="2"/>
        <v>34.819882990484011</v>
      </c>
    </row>
    <row r="16" spans="2:12" x14ac:dyDescent="0.25">
      <c r="B16" s="20">
        <v>2027</v>
      </c>
      <c r="C16" s="58">
        <v>519700.00000000006</v>
      </c>
      <c r="D16" s="20"/>
      <c r="E16" s="20"/>
      <c r="F16" s="20"/>
      <c r="G16" s="58">
        <v>519700.00000000006</v>
      </c>
      <c r="H16" s="21">
        <f t="shared" si="1"/>
        <v>12783.26704367903</v>
      </c>
      <c r="I16" s="81">
        <f t="shared" si="2"/>
        <v>35.654184129297825</v>
      </c>
      <c r="K16" s="10" t="s">
        <v>19</v>
      </c>
      <c r="L16" s="10"/>
    </row>
    <row r="17" spans="2:19" x14ac:dyDescent="0.25">
      <c r="B17" s="20">
        <v>2028</v>
      </c>
      <c r="C17" s="58">
        <v>530600</v>
      </c>
      <c r="D17" s="20"/>
      <c r="E17" s="20"/>
      <c r="F17" s="20"/>
      <c r="G17" s="58">
        <v>530600</v>
      </c>
      <c r="H17" s="21">
        <f t="shared" si="1"/>
        <v>13059.243859235507</v>
      </c>
      <c r="I17" s="81">
        <f t="shared" si="2"/>
        <v>36.444956513043081</v>
      </c>
      <c r="K17" t="s">
        <v>20</v>
      </c>
      <c r="L17">
        <v>0.99491620338789888</v>
      </c>
    </row>
    <row r="18" spans="2:19" x14ac:dyDescent="0.25">
      <c r="B18" s="20">
        <v>2029</v>
      </c>
      <c r="C18" s="58">
        <v>541400.00000000012</v>
      </c>
      <c r="D18" s="20"/>
      <c r="E18" s="20"/>
      <c r="F18" s="20"/>
      <c r="G18" s="58">
        <v>541400.00000000012</v>
      </c>
      <c r="H18" s="21">
        <f t="shared" si="1"/>
        <v>13332.688777401561</v>
      </c>
      <c r="I18" s="81">
        <f t="shared" si="2"/>
        <v>37.228474104276927</v>
      </c>
      <c r="K18" t="s">
        <v>21</v>
      </c>
      <c r="L18">
        <v>0.98985825176379094</v>
      </c>
    </row>
    <row r="19" spans="2:19" x14ac:dyDescent="0.25">
      <c r="B19" s="20">
        <v>2030</v>
      </c>
      <c r="C19" s="58">
        <v>551800</v>
      </c>
      <c r="D19" s="20"/>
      <c r="E19" s="20"/>
      <c r="F19" s="20"/>
      <c r="G19" s="58">
        <v>551800</v>
      </c>
      <c r="H19" s="21">
        <f t="shared" si="1"/>
        <v>13596.006106005905</v>
      </c>
      <c r="I19" s="81">
        <f t="shared" si="2"/>
        <v>37.982972525465058</v>
      </c>
      <c r="K19" t="s">
        <v>22</v>
      </c>
      <c r="L19">
        <v>0.98732281470473859</v>
      </c>
    </row>
    <row r="20" spans="2:19" x14ac:dyDescent="0.25">
      <c r="K20" t="s">
        <v>23</v>
      </c>
      <c r="L20">
        <v>184.85496393156566</v>
      </c>
    </row>
    <row r="21" spans="2:19" ht="15.75" thickBot="1" x14ac:dyDescent="0.3">
      <c r="K21" s="8" t="s">
        <v>24</v>
      </c>
      <c r="L21" s="8">
        <v>6</v>
      </c>
    </row>
    <row r="23" spans="2:19" ht="15.75" thickBot="1" x14ac:dyDescent="0.3">
      <c r="K23" t="s">
        <v>25</v>
      </c>
    </row>
    <row r="24" spans="2:19" x14ac:dyDescent="0.25">
      <c r="K24" s="9"/>
      <c r="L24" s="9" t="s">
        <v>30</v>
      </c>
      <c r="M24" s="9" t="s">
        <v>31</v>
      </c>
      <c r="N24" s="9" t="s">
        <v>32</v>
      </c>
      <c r="O24" s="9" t="s">
        <v>33</v>
      </c>
      <c r="P24" s="9" t="s">
        <v>34</v>
      </c>
    </row>
    <row r="25" spans="2:19" x14ac:dyDescent="0.25">
      <c r="K25" t="s">
        <v>26</v>
      </c>
      <c r="L25">
        <v>1</v>
      </c>
      <c r="M25">
        <v>13340816.433519138</v>
      </c>
      <c r="N25">
        <v>13340816.433519138</v>
      </c>
      <c r="O25">
        <v>390.40931749013885</v>
      </c>
      <c r="P25">
        <v>3.8701786658615927E-5</v>
      </c>
    </row>
    <row r="26" spans="2:19" x14ac:dyDescent="0.25">
      <c r="K26" t="s">
        <v>27</v>
      </c>
      <c r="L26">
        <v>4</v>
      </c>
      <c r="M26">
        <v>136685.43076056178</v>
      </c>
      <c r="N26">
        <v>34171.357690140445</v>
      </c>
    </row>
    <row r="27" spans="2:19" ht="15.75" thickBot="1" x14ac:dyDescent="0.3">
      <c r="K27" s="8" t="s">
        <v>28</v>
      </c>
      <c r="L27" s="8">
        <v>5</v>
      </c>
      <c r="M27" s="8">
        <v>13477501.8642797</v>
      </c>
      <c r="N27" s="8"/>
      <c r="O27" s="8"/>
      <c r="P27" s="8"/>
    </row>
    <row r="28" spans="2:19" ht="15.75" thickBot="1" x14ac:dyDescent="0.3"/>
    <row r="29" spans="2:19" x14ac:dyDescent="0.25">
      <c r="K29" s="9"/>
      <c r="L29" s="9" t="s">
        <v>35</v>
      </c>
      <c r="M29" s="9" t="s">
        <v>23</v>
      </c>
      <c r="N29" s="9" t="s">
        <v>36</v>
      </c>
      <c r="O29" s="9" t="s">
        <v>37</v>
      </c>
      <c r="P29" s="9" t="s">
        <v>38</v>
      </c>
      <c r="Q29" s="9" t="s">
        <v>39</v>
      </c>
      <c r="R29" s="9" t="s">
        <v>40</v>
      </c>
      <c r="S29" s="9" t="s">
        <v>41</v>
      </c>
    </row>
    <row r="30" spans="2:19" x14ac:dyDescent="0.25">
      <c r="K30" t="s">
        <v>29</v>
      </c>
      <c r="L30">
        <v>-375.00369436699111</v>
      </c>
      <c r="M30">
        <v>443.0238587113368</v>
      </c>
      <c r="N30">
        <v>-0.84646387997657269</v>
      </c>
      <c r="O30">
        <v>0.44496341438553227</v>
      </c>
      <c r="P30">
        <v>-1605.035118371921</v>
      </c>
      <c r="Q30">
        <v>855.02772963793882</v>
      </c>
      <c r="R30">
        <v>-1605.035118371921</v>
      </c>
      <c r="S30">
        <v>855.02772963793882</v>
      </c>
    </row>
    <row r="31" spans="2:19" ht="15.75" thickBot="1" x14ac:dyDescent="0.3">
      <c r="K31" s="8" t="s">
        <v>42</v>
      </c>
      <c r="L31" s="8">
        <v>2.5318973904264037E-2</v>
      </c>
      <c r="M31" s="8">
        <v>1.2814038195207605E-3</v>
      </c>
      <c r="N31" s="8">
        <v>19.758778238801586</v>
      </c>
      <c r="O31" s="8">
        <v>3.8701786658615927E-5</v>
      </c>
      <c r="P31" s="8">
        <v>2.1761226541773863E-2</v>
      </c>
      <c r="Q31" s="8">
        <v>2.887672126675421E-2</v>
      </c>
      <c r="R31" s="8">
        <v>2.1761226541773863E-2</v>
      </c>
      <c r="S31" s="8">
        <v>2.887672126675421E-2</v>
      </c>
    </row>
    <row r="32" spans="2:19" x14ac:dyDescent="0.25">
      <c r="C32" t="s">
        <v>18</v>
      </c>
    </row>
    <row r="33" spans="3:19" ht="15.75" thickBot="1" x14ac:dyDescent="0.3"/>
    <row r="34" spans="3:19" x14ac:dyDescent="0.25">
      <c r="C34" s="10" t="s">
        <v>19</v>
      </c>
      <c r="D34" s="10"/>
    </row>
    <row r="35" spans="3:19" x14ac:dyDescent="0.25">
      <c r="C35" t="s">
        <v>20</v>
      </c>
      <c r="D35">
        <v>0.85708241369271876</v>
      </c>
    </row>
    <row r="36" spans="3:19" x14ac:dyDescent="0.25">
      <c r="C36" t="s">
        <v>21</v>
      </c>
      <c r="D36">
        <v>0.73459026386133663</v>
      </c>
    </row>
    <row r="37" spans="3:19" x14ac:dyDescent="0.25">
      <c r="C37" t="s">
        <v>22</v>
      </c>
      <c r="D37">
        <v>0.55765043976889439</v>
      </c>
    </row>
    <row r="38" spans="3:19" x14ac:dyDescent="0.25">
      <c r="C38" t="s">
        <v>23</v>
      </c>
      <c r="D38">
        <v>3.63476366020805</v>
      </c>
    </row>
    <row r="39" spans="3:19" ht="15.75" thickBot="1" x14ac:dyDescent="0.3">
      <c r="C39" s="8" t="s">
        <v>24</v>
      </c>
      <c r="D39" s="8">
        <v>6</v>
      </c>
      <c r="L39" s="8"/>
    </row>
    <row r="41" spans="3:19" ht="15.75" thickBot="1" x14ac:dyDescent="0.3">
      <c r="C41" t="s">
        <v>25</v>
      </c>
    </row>
    <row r="42" spans="3:19" x14ac:dyDescent="0.25">
      <c r="C42" s="9"/>
      <c r="D42" s="9" t="s">
        <v>30</v>
      </c>
      <c r="E42" s="9" t="s">
        <v>31</v>
      </c>
      <c r="F42" s="9" t="s">
        <v>32</v>
      </c>
      <c r="G42" s="9" t="s">
        <v>33</v>
      </c>
      <c r="H42" s="9" t="s">
        <v>34</v>
      </c>
      <c r="L42" s="9"/>
      <c r="M42" s="9"/>
      <c r="N42" s="9"/>
      <c r="O42" s="9"/>
      <c r="P42" s="9"/>
    </row>
    <row r="43" spans="3:19" x14ac:dyDescent="0.25">
      <c r="C43" t="s">
        <v>26</v>
      </c>
      <c r="D43">
        <v>2</v>
      </c>
      <c r="E43">
        <v>109.69881273662625</v>
      </c>
      <c r="F43">
        <v>54.849406368313126</v>
      </c>
      <c r="G43">
        <v>4.151638940691778</v>
      </c>
      <c r="H43">
        <v>0.13673360851431179</v>
      </c>
    </row>
    <row r="44" spans="3:19" x14ac:dyDescent="0.25">
      <c r="C44" t="s">
        <v>27</v>
      </c>
      <c r="D44">
        <v>3</v>
      </c>
      <c r="E44">
        <v>39.634520596707063</v>
      </c>
      <c r="F44">
        <v>13.211506865569021</v>
      </c>
    </row>
    <row r="45" spans="3:19" ht="15.75" thickBot="1" x14ac:dyDescent="0.3">
      <c r="C45" s="8" t="s">
        <v>28</v>
      </c>
      <c r="D45" s="8">
        <v>5</v>
      </c>
      <c r="E45" s="8">
        <v>149.33333333333331</v>
      </c>
      <c r="F45" s="8"/>
      <c r="G45" s="8"/>
      <c r="H45" s="8"/>
      <c r="L45" s="8"/>
      <c r="M45" s="8"/>
      <c r="N45" s="8"/>
      <c r="O45" s="8"/>
      <c r="P45" s="8"/>
    </row>
    <row r="46" spans="3:19" ht="15.75" thickBot="1" x14ac:dyDescent="0.3"/>
    <row r="47" spans="3:19" x14ac:dyDescent="0.25">
      <c r="C47" s="9"/>
      <c r="D47" s="9" t="s">
        <v>35</v>
      </c>
      <c r="E47" s="9" t="s">
        <v>23</v>
      </c>
      <c r="F47" s="9" t="s">
        <v>36</v>
      </c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  <c r="L47" s="9"/>
      <c r="M47" s="9"/>
      <c r="N47" s="9"/>
      <c r="O47" s="9"/>
      <c r="P47" s="9"/>
      <c r="Q47" s="9"/>
      <c r="R47" s="9"/>
      <c r="S47" s="9"/>
    </row>
    <row r="48" spans="3:19" x14ac:dyDescent="0.25">
      <c r="C48" t="s">
        <v>29</v>
      </c>
      <c r="D48">
        <v>-2.46350443533135</v>
      </c>
      <c r="E48">
        <v>9.4591508183955799</v>
      </c>
      <c r="F48">
        <v>-0.26043610918439708</v>
      </c>
      <c r="G48">
        <v>0.81138021306690888</v>
      </c>
      <c r="H48">
        <v>-32.566744008455736</v>
      </c>
      <c r="I48">
        <v>27.639735137793039</v>
      </c>
      <c r="J48">
        <v>-32.566744008455736</v>
      </c>
      <c r="K48">
        <v>27.639735137793039</v>
      </c>
    </row>
    <row r="49" spans="3:19" x14ac:dyDescent="0.25">
      <c r="C49" t="s">
        <v>42</v>
      </c>
      <c r="D49">
        <v>1.0053570784719028E-4</v>
      </c>
      <c r="E49">
        <v>2.5019271603244784E-4</v>
      </c>
      <c r="F49">
        <v>0.40183307268686297</v>
      </c>
      <c r="G49">
        <v>0.71472121817721268</v>
      </c>
      <c r="H49">
        <v>-6.9568917689916956E-4</v>
      </c>
      <c r="I49">
        <v>8.967605925935501E-4</v>
      </c>
      <c r="J49">
        <v>-6.9568917689916956E-4</v>
      </c>
      <c r="K49">
        <v>8.967605925935501E-4</v>
      </c>
    </row>
    <row r="50" spans="3:19" ht="15.75" thickBot="1" x14ac:dyDescent="0.3">
      <c r="C50" s="8" t="s">
        <v>43</v>
      </c>
      <c r="D50" s="8">
        <v>-1.1054074639348843E-3</v>
      </c>
      <c r="E50" s="8">
        <v>9.8313931714423958E-3</v>
      </c>
      <c r="F50" s="8">
        <v>-0.11243650260532774</v>
      </c>
      <c r="G50" s="8">
        <v>0.91757866409895028</v>
      </c>
      <c r="H50" s="8">
        <v>-3.2393288338183224E-2</v>
      </c>
      <c r="I50" s="8">
        <v>3.0182473410313455E-2</v>
      </c>
      <c r="J50" s="8">
        <v>-3.2393288338183224E-2</v>
      </c>
      <c r="K50" s="8">
        <v>3.0182473410313455E-2</v>
      </c>
      <c r="L50" s="8"/>
      <c r="M50" s="8"/>
      <c r="N50" s="8"/>
      <c r="O50" s="8"/>
      <c r="P50" s="8"/>
      <c r="Q50" s="8"/>
      <c r="R50" s="8"/>
      <c r="S50" s="8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6"/>
  <sheetViews>
    <sheetView zoomScale="80" zoomScaleNormal="80" workbookViewId="0">
      <selection activeCell="I15" sqref="I15"/>
    </sheetView>
  </sheetViews>
  <sheetFormatPr defaultRowHeight="15" x14ac:dyDescent="0.25"/>
  <cols>
    <col min="2" max="2" width="21.7109375" customWidth="1"/>
    <col min="3" max="3" width="24" customWidth="1"/>
    <col min="4" max="4" width="32.28515625" customWidth="1"/>
    <col min="5" max="5" width="22.140625" customWidth="1"/>
    <col min="6" max="6" width="9.140625" customWidth="1"/>
    <col min="7" max="7" width="24.7109375" customWidth="1"/>
    <col min="8" max="8" width="16.140625" customWidth="1"/>
  </cols>
  <sheetData>
    <row r="2" spans="2:21" x14ac:dyDescent="0.25">
      <c r="F2" s="34"/>
      <c r="H2" s="34"/>
      <c r="I2" s="35"/>
    </row>
    <row r="3" spans="2:21" ht="60" x14ac:dyDescent="0.25">
      <c r="B3" s="20" t="s">
        <v>0</v>
      </c>
      <c r="C3" s="3" t="s">
        <v>49</v>
      </c>
      <c r="D3" s="20" t="s">
        <v>2</v>
      </c>
      <c r="E3" s="20" t="s">
        <v>16</v>
      </c>
      <c r="F3" s="19" t="s">
        <v>17</v>
      </c>
      <c r="G3" s="20" t="s">
        <v>1</v>
      </c>
      <c r="H3" s="19" t="s">
        <v>44</v>
      </c>
      <c r="I3" s="2" t="s">
        <v>45</v>
      </c>
    </row>
    <row r="4" spans="2:21" ht="15.75" x14ac:dyDescent="0.25">
      <c r="B4" s="20">
        <v>2015</v>
      </c>
      <c r="C4" s="20">
        <v>614062</v>
      </c>
      <c r="D4" s="50">
        <v>10388.700916</v>
      </c>
      <c r="E4" s="45">
        <v>940</v>
      </c>
      <c r="F4" s="15">
        <v>1.9</v>
      </c>
      <c r="G4" s="20">
        <v>614062</v>
      </c>
      <c r="H4" s="29">
        <f>(D4+E4)+(G4*0.019)</f>
        <v>22995.878916000001</v>
      </c>
      <c r="I4" s="15">
        <v>79</v>
      </c>
      <c r="L4" t="s">
        <v>18</v>
      </c>
    </row>
    <row r="5" spans="2:21" s="38" customFormat="1" ht="16.5" thickBot="1" x14ac:dyDescent="0.3">
      <c r="B5" s="36">
        <v>2016</v>
      </c>
      <c r="C5" s="20">
        <v>674332</v>
      </c>
      <c r="D5" s="50">
        <v>10708.392159999999</v>
      </c>
      <c r="E5" s="45">
        <v>660</v>
      </c>
      <c r="F5" s="15">
        <v>1.9</v>
      </c>
      <c r="G5" s="20">
        <v>674332</v>
      </c>
      <c r="H5" s="29">
        <f t="shared" ref="H5:H9" si="0">(D5+E5)+(G5*0.019)</f>
        <v>24180.70016</v>
      </c>
      <c r="I5" s="37">
        <v>80</v>
      </c>
      <c r="L5"/>
      <c r="M5"/>
      <c r="N5"/>
      <c r="O5"/>
      <c r="P5"/>
      <c r="Q5"/>
      <c r="R5"/>
      <c r="S5"/>
      <c r="T5"/>
      <c r="U5"/>
    </row>
    <row r="6" spans="2:21" ht="15.75" x14ac:dyDescent="0.25">
      <c r="B6" s="20">
        <v>2017</v>
      </c>
      <c r="C6" s="20">
        <v>708307</v>
      </c>
      <c r="D6" s="50">
        <v>9388.6092850000005</v>
      </c>
      <c r="E6" s="45">
        <v>1262</v>
      </c>
      <c r="F6" s="15">
        <v>1.9</v>
      </c>
      <c r="G6" s="20">
        <v>708307</v>
      </c>
      <c r="H6" s="29">
        <f t="shared" si="0"/>
        <v>24108.442285000001</v>
      </c>
      <c r="I6" s="15">
        <v>81</v>
      </c>
      <c r="L6" s="10" t="s">
        <v>19</v>
      </c>
      <c r="M6" s="10"/>
    </row>
    <row r="7" spans="2:21" ht="15.75" x14ac:dyDescent="0.25">
      <c r="B7" s="20">
        <v>2018</v>
      </c>
      <c r="C7" s="20">
        <v>732115</v>
      </c>
      <c r="D7" s="50">
        <v>11654.538685000001</v>
      </c>
      <c r="E7" s="45">
        <v>930</v>
      </c>
      <c r="F7" s="15">
        <v>1.9</v>
      </c>
      <c r="G7" s="20">
        <v>732115</v>
      </c>
      <c r="H7" s="29">
        <f t="shared" si="0"/>
        <v>26494.723685000001</v>
      </c>
      <c r="I7" s="15">
        <v>77</v>
      </c>
      <c r="L7" t="s">
        <v>20</v>
      </c>
      <c r="M7">
        <v>0.95605934983611829</v>
      </c>
    </row>
    <row r="8" spans="2:21" ht="15.75" x14ac:dyDescent="0.25">
      <c r="B8" s="20">
        <v>2019</v>
      </c>
      <c r="C8" s="20">
        <v>761998</v>
      </c>
      <c r="D8" s="50">
        <v>12683.45671</v>
      </c>
      <c r="E8" s="45">
        <v>2015</v>
      </c>
      <c r="F8" s="15">
        <v>1.9</v>
      </c>
      <c r="G8" s="20">
        <v>761998</v>
      </c>
      <c r="H8" s="29">
        <f t="shared" si="0"/>
        <v>29176.418709999998</v>
      </c>
      <c r="I8" s="15">
        <v>84</v>
      </c>
      <c r="L8" t="s">
        <v>21</v>
      </c>
      <c r="M8">
        <v>0.91404948040906131</v>
      </c>
    </row>
    <row r="9" spans="2:21" ht="15.75" x14ac:dyDescent="0.25">
      <c r="B9" s="20">
        <v>2022</v>
      </c>
      <c r="C9" s="20">
        <v>910054</v>
      </c>
      <c r="D9" s="50">
        <v>13790.958316</v>
      </c>
      <c r="E9" s="45">
        <v>11616</v>
      </c>
      <c r="F9" s="15">
        <v>1.9</v>
      </c>
      <c r="G9" s="20">
        <v>910054</v>
      </c>
      <c r="H9" s="29">
        <f t="shared" si="0"/>
        <v>42697.984316000002</v>
      </c>
      <c r="I9" s="15">
        <v>95</v>
      </c>
      <c r="L9" t="s">
        <v>22</v>
      </c>
      <c r="M9">
        <v>0.89256185051132664</v>
      </c>
    </row>
    <row r="10" spans="2:21" x14ac:dyDescent="0.25">
      <c r="B10" s="20">
        <v>2023</v>
      </c>
      <c r="C10" s="23">
        <v>913400</v>
      </c>
      <c r="D10" s="20"/>
      <c r="E10" s="20"/>
      <c r="F10" s="12"/>
      <c r="G10" s="23">
        <v>913400</v>
      </c>
      <c r="H10" s="29">
        <f>$M$20+$M$21*G10</f>
        <v>40960.550083369264</v>
      </c>
      <c r="I10" s="81">
        <f>$D$40+$D$41*G10+$D$42*H10</f>
        <v>92.883057495428275</v>
      </c>
      <c r="J10" s="39"/>
      <c r="L10" t="s">
        <v>23</v>
      </c>
      <c r="M10">
        <v>2426.4267366286635</v>
      </c>
    </row>
    <row r="11" spans="2:21" ht="15.75" thickBot="1" x14ac:dyDescent="0.3">
      <c r="B11" s="20">
        <v>2024</v>
      </c>
      <c r="C11" s="23">
        <v>953300</v>
      </c>
      <c r="D11" s="20"/>
      <c r="E11" s="20"/>
      <c r="F11" s="12"/>
      <c r="G11" s="23">
        <v>953300</v>
      </c>
      <c r="H11" s="29">
        <f t="shared" ref="H11:H17" si="1">$M$20+$M$21*G11</f>
        <v>43773.579416344845</v>
      </c>
      <c r="I11" s="81">
        <f t="shared" ref="I11:I17" si="2">$D$40+$D$41*G11+$D$42*H11</f>
        <v>95.148672562332749</v>
      </c>
      <c r="J11" s="39"/>
      <c r="L11" s="8" t="s">
        <v>24</v>
      </c>
      <c r="M11" s="8">
        <v>6</v>
      </c>
    </row>
    <row r="12" spans="2:21" ht="15.75" thickBot="1" x14ac:dyDescent="0.3">
      <c r="B12" s="20">
        <v>2025</v>
      </c>
      <c r="C12" s="23">
        <v>994800</v>
      </c>
      <c r="D12" s="20"/>
      <c r="E12" s="20"/>
      <c r="F12" s="12"/>
      <c r="G12" s="23">
        <v>994800</v>
      </c>
      <c r="H12" s="29">
        <f t="shared" si="1"/>
        <v>46699.411930592643</v>
      </c>
      <c r="I12" s="81">
        <f t="shared" si="2"/>
        <v>97.505139361243423</v>
      </c>
      <c r="J12" s="39"/>
      <c r="K12" s="8"/>
    </row>
    <row r="13" spans="2:21" ht="15.75" thickBot="1" x14ac:dyDescent="0.3">
      <c r="B13" s="20">
        <v>2026</v>
      </c>
      <c r="C13" s="23">
        <v>1036800</v>
      </c>
      <c r="D13" s="20"/>
      <c r="E13" s="20"/>
      <c r="F13" s="12"/>
      <c r="G13" s="23">
        <v>1036800</v>
      </c>
      <c r="H13" s="29">
        <f t="shared" si="1"/>
        <v>49660.495438987986</v>
      </c>
      <c r="I13" s="81">
        <f t="shared" si="2"/>
        <v>99.889997326406032</v>
      </c>
      <c r="J13" s="39"/>
      <c r="L13" t="s">
        <v>25</v>
      </c>
    </row>
    <row r="14" spans="2:21" ht="15.75" thickBot="1" x14ac:dyDescent="0.3">
      <c r="B14" s="20">
        <v>2027</v>
      </c>
      <c r="C14" s="23">
        <v>1081300</v>
      </c>
      <c r="D14" s="20"/>
      <c r="E14" s="20"/>
      <c r="F14" s="12"/>
      <c r="G14" s="23">
        <v>1081300</v>
      </c>
      <c r="H14" s="29">
        <f t="shared" si="1"/>
        <v>52797.833918121163</v>
      </c>
      <c r="I14" s="81">
        <f t="shared" si="2"/>
        <v>102.41681112282832</v>
      </c>
      <c r="J14" s="39"/>
      <c r="L14" s="9"/>
      <c r="M14" s="9" t="s">
        <v>30</v>
      </c>
      <c r="N14" s="9" t="s">
        <v>31</v>
      </c>
      <c r="O14" s="9" t="s">
        <v>32</v>
      </c>
      <c r="P14" s="9" t="s">
        <v>33</v>
      </c>
      <c r="Q14" s="9" t="s">
        <v>34</v>
      </c>
    </row>
    <row r="15" spans="2:21" x14ac:dyDescent="0.25">
      <c r="B15" s="20">
        <v>2028</v>
      </c>
      <c r="C15" s="23">
        <v>1125400</v>
      </c>
      <c r="D15" s="20"/>
      <c r="E15" s="20"/>
      <c r="F15" s="12"/>
      <c r="G15" s="23">
        <v>1125400</v>
      </c>
      <c r="H15" s="29">
        <f t="shared" si="1"/>
        <v>55906.971601936282</v>
      </c>
      <c r="I15" s="81">
        <f t="shared" si="2"/>
        <v>104.92091198624905</v>
      </c>
      <c r="J15" s="39"/>
      <c r="K15" s="9"/>
      <c r="L15" t="s">
        <v>26</v>
      </c>
      <c r="M15">
        <v>1</v>
      </c>
      <c r="N15">
        <v>250446840.11919749</v>
      </c>
      <c r="O15">
        <v>250446840.11919749</v>
      </c>
      <c r="P15">
        <v>42.538403944933208</v>
      </c>
      <c r="Q15">
        <v>2.8537512247869641E-3</v>
      </c>
    </row>
    <row r="16" spans="2:21" x14ac:dyDescent="0.25">
      <c r="B16" s="20">
        <v>2029</v>
      </c>
      <c r="C16" s="23">
        <v>1170600</v>
      </c>
      <c r="D16" s="20"/>
      <c r="E16" s="20"/>
      <c r="F16" s="12"/>
      <c r="G16" s="23">
        <v>1170600</v>
      </c>
      <c r="H16" s="29">
        <f t="shared" si="1"/>
        <v>59093.661472876047</v>
      </c>
      <c r="I16" s="81">
        <f t="shared" si="2"/>
        <v>107.48747341542406</v>
      </c>
      <c r="J16" s="39"/>
      <c r="L16" t="s">
        <v>27</v>
      </c>
      <c r="M16">
        <v>4</v>
      </c>
      <c r="N16">
        <v>23550186.832905702</v>
      </c>
      <c r="O16">
        <v>5887546.7082264256</v>
      </c>
    </row>
    <row r="17" spans="2:21" ht="15.75" thickBot="1" x14ac:dyDescent="0.3">
      <c r="B17" s="20">
        <v>2030</v>
      </c>
      <c r="C17" s="23">
        <v>1216200</v>
      </c>
      <c r="D17" s="20"/>
      <c r="E17" s="20"/>
      <c r="F17" s="12"/>
      <c r="G17" s="23">
        <v>1216200</v>
      </c>
      <c r="H17" s="29">
        <f t="shared" si="1"/>
        <v>62308.552139133855</v>
      </c>
      <c r="I17" s="81">
        <f t="shared" si="2"/>
        <v>110.0767477776006</v>
      </c>
      <c r="J17" s="39"/>
      <c r="L17" s="8" t="s">
        <v>28</v>
      </c>
      <c r="M17" s="8">
        <v>5</v>
      </c>
      <c r="N17" s="8">
        <v>273997026.9521032</v>
      </c>
      <c r="O17" s="8"/>
      <c r="P17" s="8"/>
      <c r="Q17" s="8"/>
    </row>
    <row r="18" spans="2:21" ht="15.75" thickBot="1" x14ac:dyDescent="0.3">
      <c r="K18" s="8"/>
      <c r="U18" s="9"/>
    </row>
    <row r="19" spans="2:21" ht="15.75" thickBot="1" x14ac:dyDescent="0.3">
      <c r="L19" s="9"/>
      <c r="M19" s="9" t="s">
        <v>35</v>
      </c>
      <c r="N19" s="9" t="s">
        <v>23</v>
      </c>
      <c r="O19" s="9" t="s">
        <v>36</v>
      </c>
      <c r="P19" s="9" t="s">
        <v>37</v>
      </c>
      <c r="Q19" s="9" t="s">
        <v>38</v>
      </c>
      <c r="R19" s="9" t="s">
        <v>39</v>
      </c>
      <c r="S19" s="9" t="s">
        <v>40</v>
      </c>
      <c r="T19" s="9" t="s">
        <v>41</v>
      </c>
    </row>
    <row r="20" spans="2:21" x14ac:dyDescent="0.25">
      <c r="K20" s="9"/>
      <c r="L20" t="s">
        <v>29</v>
      </c>
      <c r="M20">
        <v>-23435.966025400154</v>
      </c>
      <c r="N20">
        <v>7990.2658031886594</v>
      </c>
      <c r="O20">
        <v>-2.9330646317232163</v>
      </c>
      <c r="P20">
        <v>4.2683138748463821E-2</v>
      </c>
      <c r="Q20">
        <v>-45620.500403892627</v>
      </c>
      <c r="R20">
        <v>-1251.4316469076839</v>
      </c>
      <c r="S20">
        <v>-45620.500403892627</v>
      </c>
      <c r="T20">
        <v>-1251.4316469076839</v>
      </c>
    </row>
    <row r="21" spans="2:21" ht="15.75" thickBot="1" x14ac:dyDescent="0.3">
      <c r="L21" s="8" t="s">
        <v>42</v>
      </c>
      <c r="M21" s="8">
        <v>7.0501988295127452E-2</v>
      </c>
      <c r="N21" s="8">
        <v>1.0809628525765181E-2</v>
      </c>
      <c r="O21" s="8">
        <v>6.5221471882297477</v>
      </c>
      <c r="P21" s="8">
        <v>2.8537512247869641E-3</v>
      </c>
      <c r="Q21" s="8">
        <v>4.0489648085760277E-2</v>
      </c>
      <c r="R21" s="8">
        <v>0.10051432850449463</v>
      </c>
      <c r="S21" s="8">
        <v>4.0489648085760277E-2</v>
      </c>
      <c r="T21" s="8">
        <v>0.10051432850449463</v>
      </c>
      <c r="U21" s="8"/>
    </row>
    <row r="22" spans="2:21" ht="15.75" thickBot="1" x14ac:dyDescent="0.3">
      <c r="K22" s="8"/>
    </row>
    <row r="23" spans="2:21" x14ac:dyDescent="0.25">
      <c r="C23" s="10"/>
      <c r="D23" s="10"/>
    </row>
    <row r="24" spans="2:21" x14ac:dyDescent="0.25">
      <c r="C24" t="s">
        <v>18</v>
      </c>
    </row>
    <row r="25" spans="2:21" ht="15.75" thickBot="1" x14ac:dyDescent="0.3">
      <c r="T25" s="8"/>
    </row>
    <row r="26" spans="2:21" x14ac:dyDescent="0.25">
      <c r="C26" s="10" t="s">
        <v>19</v>
      </c>
      <c r="D26" s="10"/>
    </row>
    <row r="27" spans="2:21" x14ac:dyDescent="0.25">
      <c r="C27" t="s">
        <v>20</v>
      </c>
      <c r="D27">
        <v>0.94849986623762517</v>
      </c>
    </row>
    <row r="28" spans="2:21" x14ac:dyDescent="0.25">
      <c r="C28" t="s">
        <v>21</v>
      </c>
      <c r="D28">
        <v>0.89965199625279291</v>
      </c>
    </row>
    <row r="29" spans="2:21" ht="15.75" thickBot="1" x14ac:dyDescent="0.3">
      <c r="C29" t="s">
        <v>22</v>
      </c>
      <c r="D29">
        <v>0.8327533270879881</v>
      </c>
    </row>
    <row r="30" spans="2:21" ht="15.75" thickBot="1" x14ac:dyDescent="0.3">
      <c r="C30" t="s">
        <v>23</v>
      </c>
      <c r="D30">
        <v>2.6461407192203943</v>
      </c>
      <c r="L30" s="9"/>
      <c r="M30" s="9"/>
    </row>
    <row r="31" spans="2:21" ht="15.75" thickBot="1" x14ac:dyDescent="0.3">
      <c r="C31" s="8" t="s">
        <v>24</v>
      </c>
      <c r="D31" s="8">
        <v>6</v>
      </c>
      <c r="Q31" s="10"/>
      <c r="R31" s="10"/>
    </row>
    <row r="33" spans="3:25" ht="15.75" thickBot="1" x14ac:dyDescent="0.3">
      <c r="C33" t="s">
        <v>25</v>
      </c>
      <c r="L33" s="8"/>
      <c r="M33" s="8"/>
    </row>
    <row r="34" spans="3:25" ht="15.75" thickBot="1" x14ac:dyDescent="0.3">
      <c r="C34" s="9"/>
      <c r="D34" s="9" t="s">
        <v>30</v>
      </c>
      <c r="E34" s="9" t="s">
        <v>31</v>
      </c>
      <c r="F34" s="9" t="s">
        <v>32</v>
      </c>
      <c r="G34" s="9" t="s">
        <v>33</v>
      </c>
      <c r="H34" s="9" t="s">
        <v>34</v>
      </c>
    </row>
    <row r="35" spans="3:25" x14ac:dyDescent="0.25">
      <c r="C35" t="s">
        <v>26</v>
      </c>
      <c r="D35">
        <v>2</v>
      </c>
      <c r="E35">
        <v>188.32715121558465</v>
      </c>
      <c r="F35">
        <v>94.163575607792325</v>
      </c>
      <c r="G35">
        <v>13.447980467840136</v>
      </c>
      <c r="H35">
        <v>3.1787992804582464E-2</v>
      </c>
      <c r="L35" s="9"/>
      <c r="M35" s="9"/>
      <c r="N35" s="9"/>
      <c r="O35" s="9"/>
      <c r="P35" s="9"/>
    </row>
    <row r="36" spans="3:25" ht="15.75" thickBot="1" x14ac:dyDescent="0.3">
      <c r="C36" t="s">
        <v>27</v>
      </c>
      <c r="D36">
        <v>3</v>
      </c>
      <c r="E36">
        <v>21.006182117748679</v>
      </c>
      <c r="F36">
        <v>7.0020607059162261</v>
      </c>
      <c r="Q36" s="8"/>
      <c r="R36" s="8"/>
    </row>
    <row r="37" spans="3:25" ht="15.75" thickBot="1" x14ac:dyDescent="0.3">
      <c r="C37" s="8" t="s">
        <v>28</v>
      </c>
      <c r="D37" s="8">
        <v>5</v>
      </c>
      <c r="E37" s="8">
        <v>209.33333333333331</v>
      </c>
      <c r="F37" s="8"/>
      <c r="G37" s="8"/>
      <c r="H37" s="8"/>
      <c r="L37" s="8"/>
      <c r="M37" s="8"/>
      <c r="N37" s="8"/>
      <c r="O37" s="8"/>
      <c r="P37" s="8"/>
    </row>
    <row r="38" spans="3:25" ht="15.75" thickBot="1" x14ac:dyDescent="0.3"/>
    <row r="39" spans="3:25" x14ac:dyDescent="0.25">
      <c r="C39" s="9"/>
      <c r="D39" s="9" t="s">
        <v>35</v>
      </c>
      <c r="E39" s="9" t="s">
        <v>23</v>
      </c>
      <c r="F39" s="9" t="s">
        <v>36</v>
      </c>
      <c r="G39" s="9" t="s">
        <v>37</v>
      </c>
      <c r="H39" s="9" t="s">
        <v>38</v>
      </c>
      <c r="I39" s="9" t="s">
        <v>39</v>
      </c>
      <c r="J39" s="9" t="s">
        <v>40</v>
      </c>
      <c r="K39" s="9" t="s">
        <v>41</v>
      </c>
      <c r="Q39" s="9"/>
      <c r="R39" s="9"/>
      <c r="S39" s="9"/>
      <c r="T39" s="9"/>
      <c r="U39" s="9"/>
      <c r="V39" s="9"/>
    </row>
    <row r="40" spans="3:25" x14ac:dyDescent="0.25">
      <c r="C40" t="s">
        <v>29</v>
      </c>
      <c r="D40">
        <v>65.581135760944974</v>
      </c>
      <c r="E40">
        <v>15.467199250516712</v>
      </c>
      <c r="F40">
        <v>4.2400136378119075</v>
      </c>
      <c r="G40">
        <v>2.4020653040567819E-2</v>
      </c>
      <c r="H40">
        <v>16.357604653051112</v>
      </c>
      <c r="I40">
        <v>114.80466686883884</v>
      </c>
      <c r="J40">
        <v>16.357604653051112</v>
      </c>
      <c r="K40">
        <v>114.80466686883884</v>
      </c>
    </row>
    <row r="41" spans="3:25" x14ac:dyDescent="0.25">
      <c r="C41" t="s">
        <v>42</v>
      </c>
      <c r="D41">
        <v>-1.7110274327148658E-5</v>
      </c>
      <c r="E41">
        <v>4.0209833005009122E-5</v>
      </c>
      <c r="F41">
        <v>-0.42552463038125904</v>
      </c>
      <c r="G41">
        <v>0.69913471084059209</v>
      </c>
      <c r="H41">
        <v>-1.4507590881001486E-4</v>
      </c>
      <c r="I41">
        <v>1.1085536015571755E-4</v>
      </c>
      <c r="J41">
        <v>-1.4507590881001486E-4</v>
      </c>
      <c r="K41">
        <v>1.1085536015571755E-4</v>
      </c>
    </row>
    <row r="42" spans="3:25" ht="15.75" thickBot="1" x14ac:dyDescent="0.3">
      <c r="C42" s="8" t="s">
        <v>43</v>
      </c>
      <c r="D42" s="8">
        <v>1.0480925235994679E-3</v>
      </c>
      <c r="E42" s="8">
        <v>5.4527521463454669E-4</v>
      </c>
      <c r="F42" s="8">
        <v>1.9221349063186715</v>
      </c>
      <c r="G42" s="8">
        <v>0.15032210651878158</v>
      </c>
      <c r="H42" s="8">
        <v>-6.8721656857702665E-4</v>
      </c>
      <c r="I42" s="8">
        <v>2.7834016157759624E-3</v>
      </c>
      <c r="J42" s="8">
        <v>-6.8721656857702665E-4</v>
      </c>
      <c r="K42" s="8">
        <v>2.7834016157759624E-3</v>
      </c>
      <c r="Q42" s="8"/>
      <c r="R42" s="8"/>
      <c r="S42" s="8"/>
      <c r="T42" s="8"/>
      <c r="U42" s="8"/>
      <c r="V42" s="8"/>
    </row>
    <row r="43" spans="3:25" ht="15.75" thickBot="1" x14ac:dyDescent="0.3"/>
    <row r="44" spans="3:25" x14ac:dyDescent="0.25">
      <c r="Q44" s="9"/>
      <c r="R44" s="9"/>
      <c r="S44" s="9"/>
      <c r="T44" s="9"/>
      <c r="U44" s="9"/>
      <c r="V44" s="9"/>
      <c r="W44" s="9"/>
      <c r="X44" s="9"/>
      <c r="Y44" s="9"/>
    </row>
    <row r="46" spans="3:25" ht="15.75" thickBot="1" x14ac:dyDescent="0.3">
      <c r="Q46" s="8"/>
      <c r="R46" s="8"/>
      <c r="S46" s="8"/>
      <c r="T46" s="8"/>
      <c r="U46" s="8"/>
      <c r="V46" s="8"/>
      <c r="W46" s="8"/>
      <c r="X46" s="8"/>
      <c r="Y46" s="8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zoomScale="90" zoomScaleNormal="90" workbookViewId="0">
      <selection activeCell="I12" sqref="I12"/>
    </sheetView>
  </sheetViews>
  <sheetFormatPr defaultRowHeight="15" x14ac:dyDescent="0.25"/>
  <cols>
    <col min="3" max="3" width="24.42578125" customWidth="1"/>
    <col min="4" max="4" width="26.140625" customWidth="1"/>
    <col min="5" max="5" width="25.85546875" customWidth="1"/>
    <col min="6" max="6" width="9.140625" customWidth="1"/>
    <col min="7" max="7" width="20.7109375" customWidth="1"/>
    <col min="8" max="8" width="22.7109375" customWidth="1"/>
  </cols>
  <sheetData>
    <row r="1" spans="1:12" x14ac:dyDescent="0.25">
      <c r="E1" s="59" t="s">
        <v>46</v>
      </c>
    </row>
    <row r="2" spans="1:12" x14ac:dyDescent="0.25">
      <c r="B2" s="12"/>
      <c r="C2" s="12"/>
      <c r="D2" s="12"/>
      <c r="E2" s="12"/>
      <c r="F2" s="12"/>
      <c r="G2" s="12"/>
      <c r="H2" s="12"/>
      <c r="I2" s="2"/>
    </row>
    <row r="3" spans="1:12" ht="30" x14ac:dyDescent="0.25">
      <c r="A3" s="22"/>
      <c r="B3" s="15" t="s">
        <v>0</v>
      </c>
      <c r="C3" s="15" t="s">
        <v>47</v>
      </c>
      <c r="D3" s="15" t="s">
        <v>2</v>
      </c>
      <c r="E3" s="15" t="s">
        <v>51</v>
      </c>
      <c r="F3" s="15" t="s">
        <v>17</v>
      </c>
      <c r="G3" s="15" t="s">
        <v>1</v>
      </c>
      <c r="H3" s="28" t="s">
        <v>44</v>
      </c>
      <c r="I3" s="2" t="s">
        <v>45</v>
      </c>
    </row>
    <row r="4" spans="1:12" x14ac:dyDescent="0.25">
      <c r="A4" s="22"/>
      <c r="B4" s="15">
        <v>2015</v>
      </c>
      <c r="C4" s="26">
        <v>872584</v>
      </c>
      <c r="D4" s="60">
        <v>33904.839716000002</v>
      </c>
      <c r="E4" s="45">
        <v>4244</v>
      </c>
      <c r="F4" s="20">
        <v>1.9</v>
      </c>
      <c r="G4" s="26">
        <v>872584</v>
      </c>
      <c r="H4" s="29">
        <f>(D4+E4)+(G4*0.019)</f>
        <v>54727.935716000007</v>
      </c>
      <c r="I4" s="2">
        <v>17</v>
      </c>
    </row>
    <row r="5" spans="1:12" x14ac:dyDescent="0.25">
      <c r="A5" s="22"/>
      <c r="B5" s="15">
        <v>2016</v>
      </c>
      <c r="C5" s="4">
        <v>972692</v>
      </c>
      <c r="D5" s="60">
        <v>33374.061143999999</v>
      </c>
      <c r="E5" s="45">
        <v>4921</v>
      </c>
      <c r="F5" s="20">
        <v>1.9</v>
      </c>
      <c r="G5" s="4">
        <v>972692</v>
      </c>
      <c r="H5" s="29">
        <f t="shared" ref="H5:H9" si="0">(D5+E5)+(G5*0.019)</f>
        <v>56776.209144</v>
      </c>
      <c r="I5" s="2">
        <v>21</v>
      </c>
    </row>
    <row r="6" spans="1:12" x14ac:dyDescent="0.25">
      <c r="A6" s="22"/>
      <c r="B6" s="15">
        <v>2017</v>
      </c>
      <c r="C6" s="4">
        <v>1030577</v>
      </c>
      <c r="D6" s="61">
        <v>30846</v>
      </c>
      <c r="E6" s="45">
        <v>3173</v>
      </c>
      <c r="F6" s="20">
        <v>1.9</v>
      </c>
      <c r="G6" s="4">
        <v>1030577</v>
      </c>
      <c r="H6" s="29">
        <f t="shared" si="0"/>
        <v>53599.963000000003</v>
      </c>
      <c r="I6" s="2">
        <v>22</v>
      </c>
    </row>
    <row r="7" spans="1:12" x14ac:dyDescent="0.25">
      <c r="A7" s="22"/>
      <c r="B7" s="15">
        <v>2018</v>
      </c>
      <c r="C7" s="47">
        <v>1078384</v>
      </c>
      <c r="D7" s="61">
        <v>36619</v>
      </c>
      <c r="E7" s="45">
        <v>3286</v>
      </c>
      <c r="F7" s="20">
        <v>1.9</v>
      </c>
      <c r="G7" s="47">
        <v>1078384</v>
      </c>
      <c r="H7" s="29">
        <f t="shared" si="0"/>
        <v>60394.296000000002</v>
      </c>
      <c r="I7" s="2">
        <v>19</v>
      </c>
    </row>
    <row r="8" spans="1:12" x14ac:dyDescent="0.25">
      <c r="A8" s="22"/>
      <c r="B8" s="15">
        <v>2019</v>
      </c>
      <c r="C8" s="13">
        <v>1136156</v>
      </c>
      <c r="D8" s="61">
        <v>40181</v>
      </c>
      <c r="E8" s="45">
        <v>3493</v>
      </c>
      <c r="F8" s="20">
        <v>1.9</v>
      </c>
      <c r="G8" s="13">
        <v>1136156</v>
      </c>
      <c r="H8" s="29">
        <f t="shared" si="0"/>
        <v>65260.964</v>
      </c>
      <c r="I8" s="2">
        <v>15</v>
      </c>
    </row>
    <row r="9" spans="1:12" x14ac:dyDescent="0.25">
      <c r="A9" s="22"/>
      <c r="B9" s="15">
        <v>2022</v>
      </c>
      <c r="C9" s="14">
        <v>1354556</v>
      </c>
      <c r="D9" s="61">
        <v>47553</v>
      </c>
      <c r="E9" s="45">
        <v>7244</v>
      </c>
      <c r="F9" s="20">
        <v>1.9</v>
      </c>
      <c r="G9" s="14">
        <v>1354556</v>
      </c>
      <c r="H9" s="29">
        <f t="shared" si="0"/>
        <v>80533.563999999998</v>
      </c>
      <c r="I9" s="2">
        <v>31</v>
      </c>
    </row>
    <row r="10" spans="1:12" x14ac:dyDescent="0.25">
      <c r="A10" s="22"/>
      <c r="B10" s="15">
        <v>2023</v>
      </c>
      <c r="C10" s="12">
        <v>1379000</v>
      </c>
      <c r="D10" s="15"/>
      <c r="E10" s="15"/>
      <c r="F10" s="15"/>
      <c r="G10" s="12">
        <v>1379000</v>
      </c>
      <c r="H10" s="29">
        <f>$L$28+$L$29*G10</f>
        <v>79351.390490064281</v>
      </c>
      <c r="I10" s="82">
        <f>$D$46+$D$47*G10+$D$48*H10</f>
        <v>28.011619954859583</v>
      </c>
    </row>
    <row r="11" spans="1:12" x14ac:dyDescent="0.25">
      <c r="A11" s="22"/>
      <c r="B11" s="15">
        <v>2024</v>
      </c>
      <c r="C11" s="12">
        <v>1434000</v>
      </c>
      <c r="D11" s="15"/>
      <c r="E11" s="15"/>
      <c r="F11" s="15"/>
      <c r="G11" s="12">
        <v>1434000</v>
      </c>
      <c r="H11" s="29">
        <f t="shared" ref="H11:H17" si="1">$L$28+$L$29*G11</f>
        <v>82503.214911264804</v>
      </c>
      <c r="I11" s="82">
        <f t="shared" ref="I11:I17" si="2">$D$46+$D$47*G11+$D$48*H11</f>
        <v>29.306736703984495</v>
      </c>
    </row>
    <row r="12" spans="1:12" x14ac:dyDescent="0.25">
      <c r="A12" s="22"/>
      <c r="B12" s="15">
        <v>2025</v>
      </c>
      <c r="C12" s="12">
        <v>1490000</v>
      </c>
      <c r="D12" s="15"/>
      <c r="E12" s="15"/>
      <c r="F12" s="15"/>
      <c r="G12" s="12">
        <v>1490000</v>
      </c>
      <c r="H12" s="29">
        <f t="shared" si="1"/>
        <v>85712.34523103261</v>
      </c>
      <c r="I12" s="82">
        <f t="shared" si="2"/>
        <v>30.62540103036622</v>
      </c>
      <c r="K12" t="s">
        <v>18</v>
      </c>
    </row>
    <row r="13" spans="1:12" ht="15.75" thickBot="1" x14ac:dyDescent="0.3">
      <c r="A13" s="22"/>
      <c r="B13" s="15">
        <v>2026</v>
      </c>
      <c r="C13" s="12">
        <v>1545000</v>
      </c>
      <c r="D13" s="15"/>
      <c r="E13" s="15"/>
      <c r="F13" s="15"/>
      <c r="G13" s="12">
        <v>1545000</v>
      </c>
      <c r="H13" s="29">
        <f t="shared" si="1"/>
        <v>88864.169652233104</v>
      </c>
      <c r="I13" s="82">
        <f t="shared" si="2"/>
        <v>31.920517779491128</v>
      </c>
    </row>
    <row r="14" spans="1:12" x14ac:dyDescent="0.25">
      <c r="A14" s="22"/>
      <c r="B14" s="15">
        <v>2027</v>
      </c>
      <c r="C14" s="12">
        <v>1601000</v>
      </c>
      <c r="D14" s="15"/>
      <c r="E14" s="15"/>
      <c r="F14" s="15"/>
      <c r="G14" s="12">
        <v>1601000</v>
      </c>
      <c r="H14" s="29">
        <f t="shared" si="1"/>
        <v>92073.29997200091</v>
      </c>
      <c r="I14" s="82">
        <f t="shared" si="2"/>
        <v>33.239182105872857</v>
      </c>
      <c r="K14" s="10" t="s">
        <v>19</v>
      </c>
      <c r="L14" s="10"/>
    </row>
    <row r="15" spans="1:12" x14ac:dyDescent="0.25">
      <c r="A15" s="22"/>
      <c r="B15" s="15">
        <v>2028</v>
      </c>
      <c r="C15" s="12">
        <v>1656000</v>
      </c>
      <c r="D15" s="15"/>
      <c r="E15" s="15"/>
      <c r="F15" s="15"/>
      <c r="G15" s="12">
        <v>1656000</v>
      </c>
      <c r="H15" s="29">
        <f t="shared" si="1"/>
        <v>95225.124393201433</v>
      </c>
      <c r="I15" s="82">
        <f t="shared" si="2"/>
        <v>34.534298854997765</v>
      </c>
      <c r="K15" t="s">
        <v>20</v>
      </c>
      <c r="L15">
        <v>0.93586070341747807</v>
      </c>
    </row>
    <row r="16" spans="1:12" x14ac:dyDescent="0.25">
      <c r="A16" s="22"/>
      <c r="B16" s="15">
        <v>2029</v>
      </c>
      <c r="C16" s="12">
        <v>1712000</v>
      </c>
      <c r="D16" s="15"/>
      <c r="E16" s="15"/>
      <c r="F16" s="15"/>
      <c r="G16" s="12">
        <v>1712000</v>
      </c>
      <c r="H16" s="29">
        <f t="shared" si="1"/>
        <v>98434.25471296921</v>
      </c>
      <c r="I16" s="82">
        <f t="shared" si="2"/>
        <v>35.852963181379486</v>
      </c>
      <c r="K16" t="s">
        <v>21</v>
      </c>
      <c r="L16">
        <v>0.87583525620105684</v>
      </c>
    </row>
    <row r="17" spans="1:19" x14ac:dyDescent="0.25">
      <c r="A17" s="22"/>
      <c r="B17" s="15">
        <v>2030</v>
      </c>
      <c r="C17" s="12">
        <v>1768000</v>
      </c>
      <c r="D17" s="15"/>
      <c r="E17" s="15"/>
      <c r="F17" s="15"/>
      <c r="G17" s="12">
        <v>1768000</v>
      </c>
      <c r="H17" s="29">
        <f t="shared" si="1"/>
        <v>101643.38503273702</v>
      </c>
      <c r="I17" s="82">
        <f t="shared" si="2"/>
        <v>37.171627507761215</v>
      </c>
      <c r="K17" t="s">
        <v>22</v>
      </c>
      <c r="L17">
        <v>0.84479407025132103</v>
      </c>
    </row>
    <row r="18" spans="1:19" x14ac:dyDescent="0.25">
      <c r="K18" t="s">
        <v>23</v>
      </c>
      <c r="L18">
        <v>3968.4821284045547</v>
      </c>
    </row>
    <row r="19" spans="1:19" ht="15.75" thickBot="1" x14ac:dyDescent="0.3">
      <c r="K19" s="8" t="s">
        <v>24</v>
      </c>
      <c r="L19" s="8">
        <v>6</v>
      </c>
    </row>
    <row r="20" spans="1:19" x14ac:dyDescent="0.25">
      <c r="B20" s="5"/>
    </row>
    <row r="21" spans="1:19" ht="15.75" thickBot="1" x14ac:dyDescent="0.3">
      <c r="K21" t="s">
        <v>25</v>
      </c>
    </row>
    <row r="22" spans="1:19" x14ac:dyDescent="0.25">
      <c r="B22" s="6" t="s">
        <v>52</v>
      </c>
      <c r="C22" s="7"/>
      <c r="K22" s="9"/>
      <c r="L22" s="9" t="s">
        <v>30</v>
      </c>
      <c r="M22" s="9" t="s">
        <v>31</v>
      </c>
      <c r="N22" s="9" t="s">
        <v>32</v>
      </c>
      <c r="O22" s="9" t="s">
        <v>33</v>
      </c>
      <c r="P22" s="9" t="s">
        <v>34</v>
      </c>
    </row>
    <row r="23" spans="1:19" x14ac:dyDescent="0.25">
      <c r="K23" t="s">
        <v>26</v>
      </c>
      <c r="L23">
        <v>1</v>
      </c>
      <c r="M23">
        <v>444357971.70660186</v>
      </c>
      <c r="N23">
        <v>444357971.70660186</v>
      </c>
      <c r="O23">
        <v>28.21526399214498</v>
      </c>
      <c r="P23">
        <v>6.0388443468569839E-3</v>
      </c>
    </row>
    <row r="24" spans="1:19" x14ac:dyDescent="0.25">
      <c r="E24" s="49"/>
      <c r="K24" t="s">
        <v>27</v>
      </c>
      <c r="L24">
        <v>4</v>
      </c>
      <c r="M24">
        <v>62995401.613865376</v>
      </c>
      <c r="N24">
        <v>15748850.403466344</v>
      </c>
    </row>
    <row r="25" spans="1:19" ht="15.75" thickBot="1" x14ac:dyDescent="0.3">
      <c r="K25" s="8" t="s">
        <v>28</v>
      </c>
      <c r="L25" s="8">
        <v>5</v>
      </c>
      <c r="M25" s="8">
        <v>507353373.32046723</v>
      </c>
      <c r="N25" s="8"/>
      <c r="O25" s="8"/>
      <c r="P25" s="8"/>
    </row>
    <row r="26" spans="1:19" ht="15.75" thickBot="1" x14ac:dyDescent="0.3"/>
    <row r="27" spans="1:19" x14ac:dyDescent="0.25">
      <c r="F27" s="10"/>
      <c r="K27" s="9"/>
      <c r="L27" s="9" t="s">
        <v>35</v>
      </c>
      <c r="M27" s="9" t="s">
        <v>23</v>
      </c>
      <c r="N27" s="9" t="s">
        <v>36</v>
      </c>
      <c r="O27" s="9" t="s">
        <v>37</v>
      </c>
      <c r="P27" s="9" t="s">
        <v>38</v>
      </c>
      <c r="Q27" s="9" t="s">
        <v>39</v>
      </c>
      <c r="R27" s="9" t="s">
        <v>40</v>
      </c>
      <c r="S27" s="9" t="s">
        <v>41</v>
      </c>
    </row>
    <row r="28" spans="1:19" x14ac:dyDescent="0.25">
      <c r="K28" t="s">
        <v>29</v>
      </c>
      <c r="L28">
        <v>326.55636578235863</v>
      </c>
      <c r="M28">
        <v>11701.157004941879</v>
      </c>
      <c r="N28">
        <v>2.7908040687296177E-2</v>
      </c>
      <c r="O28">
        <v>0.97907236510611728</v>
      </c>
      <c r="P28">
        <v>-32161.063725739394</v>
      </c>
      <c r="Q28">
        <v>32814.176457304115</v>
      </c>
      <c r="R28">
        <v>-32161.063725739394</v>
      </c>
      <c r="S28">
        <v>32814.176457304115</v>
      </c>
    </row>
    <row r="29" spans="1:19" ht="15.75" thickBot="1" x14ac:dyDescent="0.3">
      <c r="K29" s="8" t="s">
        <v>42</v>
      </c>
      <c r="L29" s="8">
        <v>5.7305898567282042E-2</v>
      </c>
      <c r="M29" s="8">
        <v>1.0788405647973891E-2</v>
      </c>
      <c r="N29" s="8">
        <v>5.3118042125199789</v>
      </c>
      <c r="O29" s="8">
        <v>6.0388443468569778E-3</v>
      </c>
      <c r="P29" s="8">
        <v>2.7352482513076704E-2</v>
      </c>
      <c r="Q29" s="8">
        <v>8.725931462148738E-2</v>
      </c>
      <c r="R29" s="8">
        <v>2.7352482513076704E-2</v>
      </c>
      <c r="S29" s="8">
        <v>8.725931462148738E-2</v>
      </c>
    </row>
    <row r="30" spans="1:19" x14ac:dyDescent="0.25">
      <c r="C30" t="s">
        <v>18</v>
      </c>
    </row>
    <row r="31" spans="1:19" ht="15.75" thickBot="1" x14ac:dyDescent="0.3"/>
    <row r="32" spans="1:19" x14ac:dyDescent="0.25">
      <c r="C32" s="10" t="s">
        <v>19</v>
      </c>
      <c r="D32" s="10"/>
    </row>
    <row r="33" spans="3:12" x14ac:dyDescent="0.25">
      <c r="C33" t="s">
        <v>20</v>
      </c>
      <c r="D33">
        <v>0.69519828966284125</v>
      </c>
    </row>
    <row r="34" spans="3:12" x14ac:dyDescent="0.25">
      <c r="C34" t="s">
        <v>21</v>
      </c>
      <c r="D34">
        <v>0.48330066195013971</v>
      </c>
    </row>
    <row r="35" spans="3:12" x14ac:dyDescent="0.25">
      <c r="C35" t="s">
        <v>22</v>
      </c>
      <c r="D35">
        <v>0.13883443658356617</v>
      </c>
    </row>
    <row r="36" spans="3:12" x14ac:dyDescent="0.25">
      <c r="C36" t="s">
        <v>23</v>
      </c>
      <c r="D36">
        <v>5.1972967177654459</v>
      </c>
    </row>
    <row r="37" spans="3:12" ht="15.75" thickBot="1" x14ac:dyDescent="0.3">
      <c r="C37" s="8" t="s">
        <v>24</v>
      </c>
      <c r="D37" s="8">
        <v>6</v>
      </c>
    </row>
    <row r="39" spans="3:12" ht="15.75" thickBot="1" x14ac:dyDescent="0.3">
      <c r="C39" t="s">
        <v>25</v>
      </c>
    </row>
    <row r="40" spans="3:12" x14ac:dyDescent="0.25">
      <c r="C40" s="9"/>
      <c r="D40" s="9" t="s">
        <v>30</v>
      </c>
      <c r="E40" s="9" t="s">
        <v>31</v>
      </c>
      <c r="F40" s="9" t="s">
        <v>32</v>
      </c>
      <c r="G40" s="9" t="s">
        <v>33</v>
      </c>
      <c r="H40" s="9" t="s">
        <v>34</v>
      </c>
      <c r="L40" s="9"/>
    </row>
    <row r="41" spans="3:12" x14ac:dyDescent="0.25">
      <c r="C41" t="s">
        <v>26</v>
      </c>
      <c r="D41">
        <v>2</v>
      </c>
      <c r="E41">
        <v>75.7976538158469</v>
      </c>
      <c r="F41">
        <v>37.89882690792345</v>
      </c>
      <c r="G41">
        <v>1.4030422327641019</v>
      </c>
      <c r="H41">
        <v>0.37141279229926721</v>
      </c>
    </row>
    <row r="42" spans="3:12" x14ac:dyDescent="0.25">
      <c r="C42" t="s">
        <v>27</v>
      </c>
      <c r="D42">
        <v>3</v>
      </c>
      <c r="E42">
        <v>81.035679517486415</v>
      </c>
      <c r="F42">
        <v>27.011893172495473</v>
      </c>
    </row>
    <row r="43" spans="3:12" ht="15.75" thickBot="1" x14ac:dyDescent="0.3">
      <c r="C43" s="8" t="s">
        <v>28</v>
      </c>
      <c r="D43" s="8">
        <v>5</v>
      </c>
      <c r="E43" s="8">
        <v>156.83333333333331</v>
      </c>
      <c r="F43" s="8"/>
      <c r="G43" s="8"/>
      <c r="H43" s="8"/>
      <c r="L43" s="8"/>
    </row>
    <row r="44" spans="3:12" ht="15.75" thickBot="1" x14ac:dyDescent="0.3"/>
    <row r="45" spans="3:12" x14ac:dyDescent="0.25">
      <c r="C45" s="9"/>
      <c r="D45" s="9" t="s">
        <v>35</v>
      </c>
      <c r="E45" s="9" t="s">
        <v>23</v>
      </c>
      <c r="F45" s="9" t="s">
        <v>36</v>
      </c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</row>
    <row r="46" spans="3:12" x14ac:dyDescent="0.25">
      <c r="C46" t="s">
        <v>29</v>
      </c>
      <c r="D46">
        <v>-4.4965706172222291</v>
      </c>
      <c r="E46">
        <v>15.325835764559759</v>
      </c>
      <c r="F46">
        <v>-0.29339806887532538</v>
      </c>
      <c r="G46">
        <v>0.78834364591072814</v>
      </c>
      <c r="H46">
        <v>-53.270220021530363</v>
      </c>
      <c r="I46">
        <v>44.277078787085912</v>
      </c>
      <c r="J46">
        <v>-53.270220021530363</v>
      </c>
      <c r="K46">
        <v>44.277078787085912</v>
      </c>
    </row>
    <row r="47" spans="3:12" x14ac:dyDescent="0.25">
      <c r="C47" t="s">
        <v>42</v>
      </c>
      <c r="D47">
        <v>1.7215792004364077E-5</v>
      </c>
      <c r="E47">
        <v>4.0096937374014513E-5</v>
      </c>
      <c r="F47">
        <v>0.42935428817865418</v>
      </c>
      <c r="G47">
        <v>0.69663344923356951</v>
      </c>
      <c r="H47">
        <v>-1.1039055819476067E-4</v>
      </c>
      <c r="I47">
        <v>1.4482214220348883E-4</v>
      </c>
      <c r="J47">
        <v>-1.1039055819476067E-4</v>
      </c>
      <c r="K47">
        <v>1.4482214220348883E-4</v>
      </c>
    </row>
    <row r="48" spans="3:12" ht="15.75" thickBot="1" x14ac:dyDescent="0.3">
      <c r="C48" s="8" t="s">
        <v>43</v>
      </c>
      <c r="D48" s="8">
        <v>1.1049098628160219E-4</v>
      </c>
      <c r="E48" s="8">
        <v>6.5482173657348817E-4</v>
      </c>
      <c r="F48" s="8">
        <v>0.16873445108858601</v>
      </c>
      <c r="G48" s="8">
        <v>0.87674056614159213</v>
      </c>
      <c r="H48" s="8">
        <v>-1.9734440298961571E-3</v>
      </c>
      <c r="I48" s="8">
        <v>2.1944260024593619E-3</v>
      </c>
      <c r="J48" s="8">
        <v>-1.9734440298961571E-3</v>
      </c>
      <c r="K48" s="8">
        <v>2.1944260024593619E-3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zoomScaleNormal="100" workbookViewId="0">
      <selection activeCell="I15" sqref="I15"/>
    </sheetView>
  </sheetViews>
  <sheetFormatPr defaultRowHeight="15" x14ac:dyDescent="0.25"/>
  <cols>
    <col min="3" max="3" width="24.42578125" customWidth="1"/>
    <col min="4" max="4" width="26.140625" customWidth="1"/>
    <col min="5" max="5" width="25.85546875" customWidth="1"/>
    <col min="6" max="6" width="9.140625" customWidth="1"/>
    <col min="7" max="7" width="20.7109375" customWidth="1"/>
    <col min="8" max="8" width="22.7109375" customWidth="1"/>
  </cols>
  <sheetData>
    <row r="1" spans="1:23" x14ac:dyDescent="0.25">
      <c r="E1" s="59" t="s">
        <v>46</v>
      </c>
    </row>
    <row r="2" spans="1:23" x14ac:dyDescent="0.25">
      <c r="B2" s="12"/>
      <c r="C2" s="12"/>
      <c r="D2" s="12"/>
      <c r="E2" s="12"/>
      <c r="F2" s="12"/>
      <c r="G2" s="12"/>
      <c r="H2" s="12"/>
      <c r="I2" s="2"/>
    </row>
    <row r="3" spans="1:23" ht="30.75" thickBot="1" x14ac:dyDescent="0.3">
      <c r="A3" s="22"/>
      <c r="B3" s="15" t="s">
        <v>0</v>
      </c>
      <c r="C3" s="15" t="s">
        <v>56</v>
      </c>
      <c r="D3" s="15" t="s">
        <v>2</v>
      </c>
      <c r="E3" s="15" t="s">
        <v>51</v>
      </c>
      <c r="F3" s="15" t="s">
        <v>17</v>
      </c>
      <c r="G3" s="15" t="s">
        <v>56</v>
      </c>
      <c r="H3" s="28" t="s">
        <v>44</v>
      </c>
      <c r="I3" s="2" t="s">
        <v>45</v>
      </c>
    </row>
    <row r="4" spans="1:23" x14ac:dyDescent="0.25">
      <c r="A4" s="22"/>
      <c r="B4" s="15">
        <v>2015</v>
      </c>
      <c r="C4" s="15">
        <v>25840</v>
      </c>
      <c r="D4" s="71">
        <v>2632</v>
      </c>
      <c r="E4" s="45"/>
      <c r="F4" s="20">
        <v>1.9</v>
      </c>
      <c r="G4" s="15">
        <v>25840</v>
      </c>
      <c r="H4" s="29">
        <f>(D4+E4)+(G4*0.019)</f>
        <v>3122.96</v>
      </c>
      <c r="I4" s="2">
        <v>91</v>
      </c>
      <c r="R4" s="10"/>
      <c r="S4" s="10"/>
    </row>
    <row r="5" spans="1:23" x14ac:dyDescent="0.25">
      <c r="A5" s="22"/>
      <c r="B5" s="15">
        <v>2016</v>
      </c>
      <c r="C5" s="15">
        <v>28868</v>
      </c>
      <c r="D5" s="67">
        <v>4863</v>
      </c>
      <c r="E5" s="45"/>
      <c r="F5" s="20">
        <v>1.9</v>
      </c>
      <c r="G5" s="15">
        <v>28868</v>
      </c>
      <c r="H5" s="29">
        <f t="shared" ref="H5:H9" si="0">(D5+E5)+(G5*0.019)</f>
        <v>5411.4920000000002</v>
      </c>
      <c r="I5" s="2">
        <v>98</v>
      </c>
    </row>
    <row r="6" spans="1:23" x14ac:dyDescent="0.25">
      <c r="A6" s="22"/>
      <c r="B6" s="15">
        <v>2017</v>
      </c>
      <c r="C6" s="15">
        <v>28318</v>
      </c>
      <c r="D6" s="68">
        <v>6150</v>
      </c>
      <c r="E6" s="45"/>
      <c r="F6" s="20">
        <v>1.9</v>
      </c>
      <c r="G6" s="15">
        <v>28318</v>
      </c>
      <c r="H6" s="29">
        <f t="shared" si="0"/>
        <v>6688.0420000000004</v>
      </c>
      <c r="I6" s="2">
        <v>100</v>
      </c>
    </row>
    <row r="7" spans="1:23" x14ac:dyDescent="0.25">
      <c r="A7" s="22"/>
      <c r="B7" s="15">
        <v>2018</v>
      </c>
      <c r="C7" s="64">
        <v>29124</v>
      </c>
      <c r="D7" s="68">
        <v>4169</v>
      </c>
      <c r="E7" s="45"/>
      <c r="F7" s="20">
        <v>1.9</v>
      </c>
      <c r="G7" s="64">
        <v>29124</v>
      </c>
      <c r="H7" s="29">
        <f t="shared" si="0"/>
        <v>4722.3559999999998</v>
      </c>
      <c r="I7" s="2">
        <v>94</v>
      </c>
    </row>
    <row r="8" spans="1:23" x14ac:dyDescent="0.25">
      <c r="A8" s="22"/>
      <c r="B8" s="15">
        <v>2019</v>
      </c>
      <c r="C8" s="65">
        <v>28744</v>
      </c>
      <c r="D8" s="69">
        <v>4973</v>
      </c>
      <c r="E8" s="45"/>
      <c r="F8" s="20">
        <v>1.9</v>
      </c>
      <c r="G8" s="65">
        <v>28744</v>
      </c>
      <c r="H8" s="29">
        <f t="shared" si="0"/>
        <v>5519.1360000000004</v>
      </c>
      <c r="I8" s="2">
        <v>101</v>
      </c>
    </row>
    <row r="9" spans="1:23" ht="15.75" thickBot="1" x14ac:dyDescent="0.3">
      <c r="A9" s="22"/>
      <c r="B9" s="15">
        <v>2022</v>
      </c>
      <c r="C9" s="15">
        <v>30161</v>
      </c>
      <c r="D9" s="70">
        <v>2757</v>
      </c>
      <c r="E9" s="45"/>
      <c r="F9" s="20">
        <v>1.9</v>
      </c>
      <c r="G9" s="15">
        <v>30161</v>
      </c>
      <c r="H9" s="29">
        <f t="shared" si="0"/>
        <v>3330.0590000000002</v>
      </c>
      <c r="I9" s="2">
        <v>106</v>
      </c>
      <c r="R9" s="8"/>
      <c r="S9" s="8"/>
    </row>
    <row r="10" spans="1:23" x14ac:dyDescent="0.25">
      <c r="A10" s="22"/>
      <c r="B10" s="15">
        <v>2023</v>
      </c>
      <c r="C10" s="66">
        <v>32200.000000000004</v>
      </c>
      <c r="D10" s="15"/>
      <c r="E10" s="15"/>
      <c r="F10" s="15"/>
      <c r="G10" s="66">
        <v>32200.000000000004</v>
      </c>
      <c r="H10" s="29">
        <f>$L$30+$L$31*G10</f>
        <v>5515.1164702034703</v>
      </c>
      <c r="I10" s="82">
        <f>$D$48+$D$49*G10+$D$50*H10</f>
        <v>108.84336489543321</v>
      </c>
    </row>
    <row r="11" spans="1:23" ht="15.75" thickBot="1" x14ac:dyDescent="0.3">
      <c r="A11" s="22"/>
      <c r="B11" s="15">
        <v>2024</v>
      </c>
      <c r="C11" s="66">
        <v>32800</v>
      </c>
      <c r="D11" s="15"/>
      <c r="E11" s="15"/>
      <c r="F11" s="15"/>
      <c r="G11" s="66">
        <v>32800</v>
      </c>
      <c r="H11" s="29">
        <f t="shared" ref="H11:H17" si="1">$L$30+$L$31*G11</f>
        <v>5631.5306626953407</v>
      </c>
      <c r="I11" s="82">
        <f t="shared" ref="I11:I17" si="2">$D$48+$D$49*G11+$D$50*H11</f>
        <v>110.5519272627197</v>
      </c>
    </row>
    <row r="12" spans="1:23" x14ac:dyDescent="0.25">
      <c r="A12" s="22"/>
      <c r="B12" s="15">
        <v>2025</v>
      </c>
      <c r="C12" s="66">
        <v>33300</v>
      </c>
      <c r="D12" s="15"/>
      <c r="E12" s="15"/>
      <c r="F12" s="15"/>
      <c r="G12" s="66">
        <v>33300</v>
      </c>
      <c r="H12" s="29">
        <f t="shared" si="1"/>
        <v>5728.5424897719004</v>
      </c>
      <c r="I12" s="82">
        <f t="shared" si="2"/>
        <v>111.97572923545845</v>
      </c>
      <c r="R12" s="9"/>
      <c r="S12" s="9"/>
      <c r="T12" s="9"/>
      <c r="U12" s="9"/>
      <c r="V12" s="9"/>
      <c r="W12" s="9"/>
    </row>
    <row r="13" spans="1:23" x14ac:dyDescent="0.25">
      <c r="A13" s="22"/>
      <c r="B13" s="15">
        <v>2026</v>
      </c>
      <c r="C13" s="66">
        <v>33800</v>
      </c>
      <c r="D13" s="15"/>
      <c r="E13" s="15"/>
      <c r="F13" s="15"/>
      <c r="G13" s="66">
        <v>33800</v>
      </c>
      <c r="H13" s="29">
        <f t="shared" si="1"/>
        <v>5825.5543168484601</v>
      </c>
      <c r="I13" s="82">
        <f t="shared" si="2"/>
        <v>113.39953120819719</v>
      </c>
    </row>
    <row r="14" spans="1:23" x14ac:dyDescent="0.25">
      <c r="A14" s="22"/>
      <c r="B14" s="15">
        <v>2027</v>
      </c>
      <c r="C14" s="66">
        <v>34300</v>
      </c>
      <c r="D14" s="15"/>
      <c r="E14" s="15"/>
      <c r="F14" s="15"/>
      <c r="G14" s="66">
        <v>34300</v>
      </c>
      <c r="H14" s="29">
        <f t="shared" si="1"/>
        <v>5922.5661439250189</v>
      </c>
      <c r="I14" s="82">
        <f t="shared" si="2"/>
        <v>114.82333318093595</v>
      </c>
      <c r="K14" t="s">
        <v>18</v>
      </c>
    </row>
    <row r="15" spans="1:23" ht="15.75" thickBot="1" x14ac:dyDescent="0.3">
      <c r="A15" s="22"/>
      <c r="B15" s="15">
        <v>2028</v>
      </c>
      <c r="C15" s="66">
        <v>34900</v>
      </c>
      <c r="D15" s="15"/>
      <c r="E15" s="15"/>
      <c r="F15" s="15"/>
      <c r="G15" s="66">
        <v>34900</v>
      </c>
      <c r="H15" s="29">
        <f t="shared" si="1"/>
        <v>6038.9803364168902</v>
      </c>
      <c r="I15" s="82">
        <f t="shared" si="2"/>
        <v>116.53189554822244</v>
      </c>
      <c r="T15" s="8"/>
      <c r="U15" s="8"/>
      <c r="V15" s="8"/>
      <c r="W15" s="8"/>
    </row>
    <row r="16" spans="1:23" ht="15.75" thickBot="1" x14ac:dyDescent="0.3">
      <c r="A16" s="22"/>
      <c r="B16" s="15">
        <v>2029</v>
      </c>
      <c r="C16" s="66">
        <v>35600</v>
      </c>
      <c r="D16" s="15"/>
      <c r="E16" s="15"/>
      <c r="F16" s="15"/>
      <c r="G16" s="66">
        <v>35600</v>
      </c>
      <c r="H16" s="29">
        <f t="shared" si="1"/>
        <v>6174.7968943240739</v>
      </c>
      <c r="I16" s="82">
        <f t="shared" si="2"/>
        <v>118.5252183100567</v>
      </c>
      <c r="K16" s="10" t="s">
        <v>19</v>
      </c>
      <c r="L16" s="10"/>
    </row>
    <row r="17" spans="1:26" x14ac:dyDescent="0.25">
      <c r="A17" s="22"/>
      <c r="B17" s="15">
        <v>2030</v>
      </c>
      <c r="C17" s="66">
        <v>36300</v>
      </c>
      <c r="D17" s="15"/>
      <c r="E17" s="15"/>
      <c r="F17" s="15"/>
      <c r="G17" s="66">
        <v>36300</v>
      </c>
      <c r="H17" s="29">
        <f t="shared" si="1"/>
        <v>6310.6134522312568</v>
      </c>
      <c r="I17" s="82">
        <f t="shared" si="2"/>
        <v>120.51854107189094</v>
      </c>
      <c r="K17" t="s">
        <v>20</v>
      </c>
      <c r="L17">
        <v>0.20420797365284996</v>
      </c>
      <c r="T17" s="9"/>
      <c r="U17" s="9"/>
      <c r="V17" s="9"/>
      <c r="W17" s="9"/>
      <c r="X17" s="9"/>
      <c r="Y17" s="9"/>
      <c r="Z17" s="9"/>
    </row>
    <row r="18" spans="1:26" x14ac:dyDescent="0.25">
      <c r="K18" t="s">
        <v>21</v>
      </c>
      <c r="L18">
        <v>4.1700896503403057E-2</v>
      </c>
    </row>
    <row r="19" spans="1:26" x14ac:dyDescent="0.25">
      <c r="K19" t="s">
        <v>22</v>
      </c>
      <c r="L19">
        <v>-0.19787387937074619</v>
      </c>
    </row>
    <row r="20" spans="1:26" ht="15.75" thickBot="1" x14ac:dyDescent="0.3">
      <c r="B20" s="5"/>
      <c r="K20" t="s">
        <v>23</v>
      </c>
      <c r="L20">
        <v>1503.4582071156017</v>
      </c>
      <c r="T20" s="8"/>
      <c r="U20" s="8"/>
      <c r="V20" s="8"/>
      <c r="W20" s="8"/>
      <c r="X20" s="8"/>
      <c r="Y20" s="8"/>
      <c r="Z20" s="8"/>
    </row>
    <row r="21" spans="1:26" ht="15.75" thickBot="1" x14ac:dyDescent="0.3">
      <c r="K21" s="8" t="s">
        <v>24</v>
      </c>
      <c r="L21" s="8">
        <v>6</v>
      </c>
    </row>
    <row r="22" spans="1:26" x14ac:dyDescent="0.25">
      <c r="B22" s="6" t="s">
        <v>54</v>
      </c>
      <c r="C22" s="7"/>
    </row>
    <row r="23" spans="1:26" ht="15.75" thickBot="1" x14ac:dyDescent="0.3">
      <c r="K23" t="s">
        <v>25</v>
      </c>
    </row>
    <row r="24" spans="1:26" x14ac:dyDescent="0.25">
      <c r="E24" s="49"/>
      <c r="K24" s="9"/>
      <c r="L24" s="9" t="s">
        <v>30</v>
      </c>
      <c r="M24" s="9" t="s">
        <v>31</v>
      </c>
      <c r="N24" s="9" t="s">
        <v>32</v>
      </c>
      <c r="O24" s="9" t="s">
        <v>33</v>
      </c>
      <c r="P24" s="9" t="s">
        <v>34</v>
      </c>
    </row>
    <row r="25" spans="1:26" x14ac:dyDescent="0.25">
      <c r="K25" t="s">
        <v>26</v>
      </c>
      <c r="L25">
        <v>1</v>
      </c>
      <c r="M25">
        <v>393447.70963046327</v>
      </c>
      <c r="N25">
        <v>393447.70963046327</v>
      </c>
      <c r="O25">
        <v>0.17406213300731171</v>
      </c>
      <c r="P25">
        <v>0.6979458673079586</v>
      </c>
    </row>
    <row r="26" spans="1:26" x14ac:dyDescent="0.25">
      <c r="K26" t="s">
        <v>27</v>
      </c>
      <c r="L26">
        <v>4</v>
      </c>
      <c r="M26">
        <v>9041546.3221730366</v>
      </c>
      <c r="N26">
        <v>2260386.5805432592</v>
      </c>
    </row>
    <row r="27" spans="1:26" ht="15.75" thickBot="1" x14ac:dyDescent="0.3">
      <c r="K27" s="8" t="s">
        <v>28</v>
      </c>
      <c r="L27" s="8">
        <v>5</v>
      </c>
      <c r="M27" s="8">
        <v>9434994.0318034999</v>
      </c>
      <c r="N27" s="8"/>
      <c r="O27" s="8"/>
      <c r="P27" s="8"/>
    </row>
    <row r="28" spans="1:26" ht="15.75" thickBot="1" x14ac:dyDescent="0.3">
      <c r="F28" s="10"/>
    </row>
    <row r="29" spans="1:26" x14ac:dyDescent="0.25">
      <c r="K29" s="9"/>
      <c r="L29" s="9" t="s">
        <v>35</v>
      </c>
      <c r="M29" s="9" t="s">
        <v>23</v>
      </c>
      <c r="N29" s="9" t="s">
        <v>36</v>
      </c>
      <c r="O29" s="9" t="s">
        <v>37</v>
      </c>
      <c r="P29" s="9" t="s">
        <v>38</v>
      </c>
      <c r="Q29" s="9" t="s">
        <v>39</v>
      </c>
      <c r="R29" s="9" t="s">
        <v>40</v>
      </c>
      <c r="S29" s="9" t="s">
        <v>41</v>
      </c>
    </row>
    <row r="30" spans="1:26" x14ac:dyDescent="0.25">
      <c r="K30" t="s">
        <v>29</v>
      </c>
      <c r="L30">
        <v>-732.44519352695715</v>
      </c>
      <c r="M30">
        <v>13272.475679371419</v>
      </c>
      <c r="N30">
        <v>-5.5185272983046492E-2</v>
      </c>
      <c r="O30">
        <v>0.95863728397828318</v>
      </c>
      <c r="P30">
        <v>-37582.74532737449</v>
      </c>
      <c r="Q30">
        <v>36117.854940320569</v>
      </c>
      <c r="R30">
        <v>-37582.74532737449</v>
      </c>
      <c r="S30">
        <v>36117.854940320569</v>
      </c>
    </row>
    <row r="31" spans="1:26" ht="15.75" thickBot="1" x14ac:dyDescent="0.3">
      <c r="K31" s="8" t="s">
        <v>42</v>
      </c>
      <c r="L31" s="8">
        <v>0.19402365415311884</v>
      </c>
      <c r="M31" s="8">
        <v>0.46505308431292536</v>
      </c>
      <c r="N31" s="8">
        <v>0.41720754188690429</v>
      </c>
      <c r="O31" s="8">
        <v>0.6979458673079576</v>
      </c>
      <c r="P31" s="8">
        <v>-1.0971707054446396</v>
      </c>
      <c r="Q31" s="8">
        <v>1.4852180137508773</v>
      </c>
      <c r="R31" s="8">
        <v>-1.0971707054446396</v>
      </c>
      <c r="S31" s="8">
        <v>1.4852180137508773</v>
      </c>
    </row>
    <row r="32" spans="1:26" x14ac:dyDescent="0.25">
      <c r="C32" t="s">
        <v>18</v>
      </c>
    </row>
    <row r="33" spans="3:12" ht="15.75" thickBot="1" x14ac:dyDescent="0.3"/>
    <row r="34" spans="3:12" x14ac:dyDescent="0.25">
      <c r="C34" s="10" t="s">
        <v>19</v>
      </c>
      <c r="D34" s="10"/>
    </row>
    <row r="35" spans="3:12" x14ac:dyDescent="0.25">
      <c r="C35" t="s">
        <v>20</v>
      </c>
      <c r="D35">
        <v>0.77446863731759097</v>
      </c>
    </row>
    <row r="36" spans="3:12" x14ac:dyDescent="0.25">
      <c r="C36" t="s">
        <v>21</v>
      </c>
      <c r="D36">
        <v>0.59980167018856634</v>
      </c>
    </row>
    <row r="37" spans="3:12" x14ac:dyDescent="0.25">
      <c r="C37" t="s">
        <v>22</v>
      </c>
      <c r="D37">
        <v>0.33300278364761055</v>
      </c>
    </row>
    <row r="38" spans="3:12" x14ac:dyDescent="0.25">
      <c r="C38" t="s">
        <v>23</v>
      </c>
      <c r="D38">
        <v>4.3420948840654727</v>
      </c>
    </row>
    <row r="39" spans="3:12" ht="15.75" thickBot="1" x14ac:dyDescent="0.3">
      <c r="C39" s="8" t="s">
        <v>24</v>
      </c>
      <c r="D39" s="8">
        <v>6</v>
      </c>
    </row>
    <row r="40" spans="3:12" ht="15.75" thickBot="1" x14ac:dyDescent="0.3"/>
    <row r="41" spans="3:12" ht="15.75" thickBot="1" x14ac:dyDescent="0.3">
      <c r="C41" t="s">
        <v>25</v>
      </c>
      <c r="L41" s="9"/>
    </row>
    <row r="42" spans="3:12" x14ac:dyDescent="0.25">
      <c r="C42" s="9"/>
      <c r="D42" s="9" t="s">
        <v>30</v>
      </c>
      <c r="E42" s="9" t="s">
        <v>31</v>
      </c>
      <c r="F42" s="9" t="s">
        <v>32</v>
      </c>
      <c r="G42" s="9" t="s">
        <v>33</v>
      </c>
      <c r="H42" s="9" t="s">
        <v>34</v>
      </c>
    </row>
    <row r="43" spans="3:12" x14ac:dyDescent="0.25">
      <c r="C43" t="s">
        <v>26</v>
      </c>
      <c r="D43">
        <v>2</v>
      </c>
      <c r="E43">
        <v>84.77196938665071</v>
      </c>
      <c r="F43">
        <v>42.385984693325355</v>
      </c>
      <c r="G43">
        <v>2.2481415794682928</v>
      </c>
      <c r="H43">
        <v>0.25317038831377242</v>
      </c>
    </row>
    <row r="44" spans="3:12" ht="15.75" thickBot="1" x14ac:dyDescent="0.3">
      <c r="C44" t="s">
        <v>27</v>
      </c>
      <c r="D44">
        <v>3</v>
      </c>
      <c r="E44">
        <v>56.56136394668264</v>
      </c>
      <c r="F44">
        <v>18.853787982227548</v>
      </c>
      <c r="L44" s="8"/>
    </row>
    <row r="45" spans="3:12" ht="15.75" thickBot="1" x14ac:dyDescent="0.3">
      <c r="C45" s="8" t="s">
        <v>28</v>
      </c>
      <c r="D45" s="8">
        <v>5</v>
      </c>
      <c r="E45" s="8">
        <v>141.33333333333334</v>
      </c>
      <c r="F45" s="8"/>
      <c r="G45" s="8"/>
      <c r="H45" s="8"/>
    </row>
    <row r="46" spans="3:12" ht="15.75" thickBot="1" x14ac:dyDescent="0.3"/>
    <row r="47" spans="3:12" x14ac:dyDescent="0.25">
      <c r="C47" s="9"/>
      <c r="D47" s="9" t="s">
        <v>35</v>
      </c>
      <c r="E47" s="9" t="s">
        <v>23</v>
      </c>
      <c r="F47" s="9" t="s">
        <v>36</v>
      </c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</row>
    <row r="48" spans="3:12" x14ac:dyDescent="0.25">
      <c r="C48" t="s">
        <v>29</v>
      </c>
      <c r="D48">
        <v>17.187080193641091</v>
      </c>
      <c r="E48">
        <v>38.346448764375872</v>
      </c>
      <c r="F48">
        <v>0.44820526404541566</v>
      </c>
      <c r="G48">
        <v>0.68439711445498763</v>
      </c>
      <c r="H48">
        <v>-104.84843399729795</v>
      </c>
      <c r="I48">
        <v>139.22259438458013</v>
      </c>
      <c r="J48">
        <v>-104.84843399729795</v>
      </c>
      <c r="K48">
        <v>139.22259438458013</v>
      </c>
    </row>
    <row r="49" spans="3:11" x14ac:dyDescent="0.25">
      <c r="C49" t="s">
        <v>42</v>
      </c>
      <c r="D49">
        <v>2.8379186347196246E-3</v>
      </c>
      <c r="E49">
        <v>1.3720184055172522E-3</v>
      </c>
      <c r="F49">
        <v>2.0684260672506989</v>
      </c>
      <c r="G49">
        <v>0.13043855499199269</v>
      </c>
      <c r="H49">
        <v>-1.5284562707000003E-3</v>
      </c>
      <c r="I49">
        <v>7.2042935401392498E-3</v>
      </c>
      <c r="J49">
        <v>-1.5284562707000003E-3</v>
      </c>
      <c r="K49">
        <v>7.2042935401392498E-3</v>
      </c>
    </row>
    <row r="50" spans="3:11" ht="15.75" thickBot="1" x14ac:dyDescent="0.3">
      <c r="C50" s="8" t="s">
        <v>43</v>
      </c>
      <c r="D50" s="8">
        <v>4.9918195800139447E-5</v>
      </c>
      <c r="E50" s="8">
        <v>1.4440357781530292E-3</v>
      </c>
      <c r="F50" s="8">
        <v>3.4568531164779391E-2</v>
      </c>
      <c r="G50" s="8">
        <v>0.97459523884995836</v>
      </c>
      <c r="H50" s="8">
        <v>-4.545648131080454E-3</v>
      </c>
      <c r="I50" s="8">
        <v>4.645484522680733E-3</v>
      </c>
      <c r="J50" s="8">
        <v>-4.545648131080454E-3</v>
      </c>
      <c r="K50" s="8">
        <v>4.645484522680733E-3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zoomScaleNormal="100" workbookViewId="0">
      <selection activeCell="I4" sqref="I4"/>
    </sheetView>
  </sheetViews>
  <sheetFormatPr defaultRowHeight="15" x14ac:dyDescent="0.25"/>
  <cols>
    <col min="3" max="3" width="24.42578125" customWidth="1"/>
    <col min="4" max="4" width="26.140625" customWidth="1"/>
    <col min="5" max="5" width="25.85546875" customWidth="1"/>
    <col min="6" max="6" width="9.140625" customWidth="1"/>
    <col min="7" max="7" width="20.7109375" customWidth="1"/>
    <col min="8" max="8" width="22.7109375" customWidth="1"/>
  </cols>
  <sheetData>
    <row r="1" spans="1:23" x14ac:dyDescent="0.25">
      <c r="E1" s="59" t="s">
        <v>46</v>
      </c>
    </row>
    <row r="2" spans="1:23" x14ac:dyDescent="0.25">
      <c r="B2" s="12"/>
      <c r="C2" s="12"/>
      <c r="D2" s="12"/>
      <c r="E2" s="12"/>
      <c r="F2" s="12"/>
      <c r="G2" s="12"/>
      <c r="H2" s="12"/>
      <c r="I2" s="2"/>
    </row>
    <row r="3" spans="1:23" ht="30" x14ac:dyDescent="0.25">
      <c r="A3" s="22"/>
      <c r="B3" s="15" t="s">
        <v>0</v>
      </c>
      <c r="C3" s="15" t="s">
        <v>47</v>
      </c>
      <c r="D3" s="15" t="s">
        <v>2</v>
      </c>
      <c r="E3" s="15" t="s">
        <v>51</v>
      </c>
      <c r="F3" s="15" t="s">
        <v>17</v>
      </c>
      <c r="G3" s="15" t="s">
        <v>47</v>
      </c>
      <c r="H3" s="28" t="s">
        <v>44</v>
      </c>
      <c r="I3" s="2" t="s">
        <v>45</v>
      </c>
    </row>
    <row r="4" spans="1:23" x14ac:dyDescent="0.25">
      <c r="A4" s="22"/>
      <c r="B4" s="15">
        <v>2015</v>
      </c>
      <c r="C4" s="26">
        <v>872584</v>
      </c>
      <c r="D4" s="63">
        <v>15271</v>
      </c>
      <c r="E4" s="45">
        <v>9277</v>
      </c>
      <c r="F4" s="20">
        <v>1.9</v>
      </c>
      <c r="G4" s="26">
        <v>872584</v>
      </c>
      <c r="H4" s="29">
        <f>(D4+E4)+(G4*0.019)</f>
        <v>41127.096000000005</v>
      </c>
      <c r="I4" s="2">
        <v>16</v>
      </c>
      <c r="K4" t="s">
        <v>18</v>
      </c>
    </row>
    <row r="5" spans="1:23" ht="15.75" thickBot="1" x14ac:dyDescent="0.3">
      <c r="A5" s="22"/>
      <c r="B5" s="15">
        <v>2016</v>
      </c>
      <c r="C5" s="4">
        <v>972692</v>
      </c>
      <c r="D5" s="63">
        <v>15553</v>
      </c>
      <c r="E5" s="45">
        <v>10631</v>
      </c>
      <c r="F5" s="20">
        <v>1.9</v>
      </c>
      <c r="G5" s="4">
        <v>972692</v>
      </c>
      <c r="H5" s="29">
        <f t="shared" ref="H5:H9" si="0">(D5+E5)+(G5*0.019)</f>
        <v>44665.148000000001</v>
      </c>
      <c r="I5" s="2">
        <v>18</v>
      </c>
    </row>
    <row r="6" spans="1:23" x14ac:dyDescent="0.25">
      <c r="A6" s="22"/>
      <c r="B6" s="15">
        <v>2017</v>
      </c>
      <c r="C6" s="4">
        <v>1030577</v>
      </c>
      <c r="D6" s="63">
        <v>15988</v>
      </c>
      <c r="E6" s="45">
        <v>12015</v>
      </c>
      <c r="F6" s="20">
        <v>1.9</v>
      </c>
      <c r="G6" s="4">
        <v>1030577</v>
      </c>
      <c r="H6" s="29">
        <f t="shared" si="0"/>
        <v>47583.963000000003</v>
      </c>
      <c r="I6" s="2">
        <v>17</v>
      </c>
      <c r="K6" s="10" t="s">
        <v>19</v>
      </c>
      <c r="L6" s="10"/>
    </row>
    <row r="7" spans="1:23" ht="15.75" x14ac:dyDescent="0.25">
      <c r="A7" s="22"/>
      <c r="B7" s="15">
        <v>2018</v>
      </c>
      <c r="C7" s="47">
        <v>1078384</v>
      </c>
      <c r="D7" s="62">
        <v>17700</v>
      </c>
      <c r="E7" s="45">
        <v>12881</v>
      </c>
      <c r="F7" s="20">
        <v>1.9</v>
      </c>
      <c r="G7" s="47">
        <v>1078384</v>
      </c>
      <c r="H7" s="29">
        <f t="shared" si="0"/>
        <v>51070.296000000002</v>
      </c>
      <c r="I7" s="2">
        <v>17</v>
      </c>
      <c r="K7" t="s">
        <v>20</v>
      </c>
      <c r="L7">
        <v>0.62443338420342553</v>
      </c>
    </row>
    <row r="8" spans="1:23" ht="15.75" x14ac:dyDescent="0.25">
      <c r="A8" s="22"/>
      <c r="B8" s="15">
        <v>2019</v>
      </c>
      <c r="C8" s="13">
        <v>1136156</v>
      </c>
      <c r="D8" s="62">
        <v>21803</v>
      </c>
      <c r="E8" s="45">
        <v>21791</v>
      </c>
      <c r="F8" s="20">
        <v>1.9</v>
      </c>
      <c r="G8" s="13">
        <v>1136156</v>
      </c>
      <c r="H8" s="29">
        <f t="shared" si="0"/>
        <v>65180.964</v>
      </c>
      <c r="I8" s="2">
        <v>20</v>
      </c>
      <c r="K8" t="s">
        <v>21</v>
      </c>
      <c r="L8">
        <v>0.38991705130774279</v>
      </c>
    </row>
    <row r="9" spans="1:23" x14ac:dyDescent="0.25">
      <c r="A9" s="22"/>
      <c r="B9" s="15">
        <v>2022</v>
      </c>
      <c r="C9" s="14">
        <v>1354556</v>
      </c>
      <c r="D9" s="63">
        <v>16350</v>
      </c>
      <c r="E9" s="45">
        <v>11279</v>
      </c>
      <c r="F9" s="20">
        <v>1.9</v>
      </c>
      <c r="G9" s="14">
        <v>1354556</v>
      </c>
      <c r="H9" s="29">
        <f t="shared" si="0"/>
        <v>53365.563999999998</v>
      </c>
      <c r="I9" s="2">
        <v>21</v>
      </c>
      <c r="K9" t="s">
        <v>22</v>
      </c>
      <c r="L9">
        <v>0.23739631413467849</v>
      </c>
    </row>
    <row r="10" spans="1:23" x14ac:dyDescent="0.25">
      <c r="A10" s="22"/>
      <c r="B10" s="15">
        <v>2023</v>
      </c>
      <c r="C10" s="12">
        <v>1379000</v>
      </c>
      <c r="D10" s="15"/>
      <c r="E10" s="15"/>
      <c r="F10" s="15"/>
      <c r="G10" s="12">
        <v>1379000</v>
      </c>
      <c r="H10" s="29">
        <f>$L$20+$L$21*G10</f>
        <v>60241.59216821508</v>
      </c>
      <c r="I10" s="82">
        <v>21.338045637958011</v>
      </c>
      <c r="K10" t="s">
        <v>23</v>
      </c>
      <c r="L10">
        <v>7352.7982972150166</v>
      </c>
    </row>
    <row r="11" spans="1:23" ht="15.75" thickBot="1" x14ac:dyDescent="0.3">
      <c r="A11" s="22"/>
      <c r="B11" s="15">
        <v>2024</v>
      </c>
      <c r="C11" s="12">
        <v>1434000</v>
      </c>
      <c r="D11" s="15"/>
      <c r="E11" s="15"/>
      <c r="F11" s="15"/>
      <c r="G11" s="12">
        <v>1434000</v>
      </c>
      <c r="H11" s="29">
        <f t="shared" ref="H11:H17" si="1">$L$20+$L$21*G11</f>
        <v>61999.393733349658</v>
      </c>
      <c r="I11" s="82">
        <v>21.910230372296276</v>
      </c>
      <c r="K11" s="8" t="s">
        <v>24</v>
      </c>
      <c r="L11" s="8">
        <v>6</v>
      </c>
    </row>
    <row r="12" spans="1:23" x14ac:dyDescent="0.25">
      <c r="A12" s="22"/>
      <c r="B12" s="15">
        <v>2025</v>
      </c>
      <c r="C12" s="12">
        <v>1490000</v>
      </c>
      <c r="D12" s="15"/>
      <c r="E12" s="15"/>
      <c r="F12" s="15"/>
      <c r="G12" s="12">
        <v>1490000</v>
      </c>
      <c r="H12" s="29">
        <f t="shared" si="1"/>
        <v>63789.155326941232</v>
      </c>
      <c r="I12" s="82">
        <v>22.492818465440692</v>
      </c>
      <c r="T12" s="9"/>
      <c r="U12" s="9"/>
      <c r="V12" s="9"/>
      <c r="W12" s="9"/>
    </row>
    <row r="13" spans="1:23" ht="15.75" thickBot="1" x14ac:dyDescent="0.3">
      <c r="A13" s="22"/>
      <c r="B13" s="15">
        <v>2026</v>
      </c>
      <c r="C13" s="12">
        <v>1545000</v>
      </c>
      <c r="D13" s="15"/>
      <c r="E13" s="15"/>
      <c r="F13" s="15"/>
      <c r="G13" s="12">
        <v>1545000</v>
      </c>
      <c r="H13" s="29">
        <f t="shared" si="1"/>
        <v>65546.956892075817</v>
      </c>
      <c r="I13" s="82">
        <v>23.06500319977896</v>
      </c>
      <c r="K13" t="s">
        <v>25</v>
      </c>
    </row>
    <row r="14" spans="1:23" x14ac:dyDescent="0.25">
      <c r="A14" s="22"/>
      <c r="B14" s="15">
        <v>2027</v>
      </c>
      <c r="C14" s="12">
        <v>1601000</v>
      </c>
      <c r="D14" s="15"/>
      <c r="E14" s="15"/>
      <c r="F14" s="15"/>
      <c r="G14" s="12">
        <v>1601000</v>
      </c>
      <c r="H14" s="29">
        <f t="shared" si="1"/>
        <v>67336.718485667399</v>
      </c>
      <c r="I14" s="82">
        <v>23.64759129292338</v>
      </c>
      <c r="K14" s="9"/>
      <c r="L14" s="9" t="s">
        <v>30</v>
      </c>
      <c r="M14" s="9" t="s">
        <v>31</v>
      </c>
      <c r="N14" s="9" t="s">
        <v>32</v>
      </c>
      <c r="O14" s="9" t="s">
        <v>33</v>
      </c>
      <c r="P14" s="9" t="s">
        <v>34</v>
      </c>
    </row>
    <row r="15" spans="1:23" ht="15.75" thickBot="1" x14ac:dyDescent="0.3">
      <c r="A15" s="22"/>
      <c r="B15" s="15">
        <v>2028</v>
      </c>
      <c r="C15" s="12">
        <v>1656000</v>
      </c>
      <c r="D15" s="15"/>
      <c r="E15" s="15"/>
      <c r="F15" s="15"/>
      <c r="G15" s="12">
        <v>1656000</v>
      </c>
      <c r="H15" s="29">
        <f t="shared" si="1"/>
        <v>69094.520050801977</v>
      </c>
      <c r="I15" s="82">
        <v>24.219776027261645</v>
      </c>
      <c r="K15" t="s">
        <v>26</v>
      </c>
      <c r="L15">
        <v>1</v>
      </c>
      <c r="M15">
        <v>138212918.28289115</v>
      </c>
      <c r="N15">
        <v>138212918.28289115</v>
      </c>
      <c r="O15">
        <v>2.5564854886932942</v>
      </c>
      <c r="P15">
        <v>0.18508853564821895</v>
      </c>
      <c r="T15" s="8"/>
      <c r="U15" s="8"/>
      <c r="V15" s="8"/>
      <c r="W15" s="8"/>
    </row>
    <row r="16" spans="1:23" ht="15.75" thickBot="1" x14ac:dyDescent="0.3">
      <c r="A16" s="22"/>
      <c r="B16" s="15">
        <v>2029</v>
      </c>
      <c r="C16" s="12">
        <v>1712000</v>
      </c>
      <c r="D16" s="15"/>
      <c r="E16" s="15"/>
      <c r="F16" s="15"/>
      <c r="G16" s="12">
        <v>1712000</v>
      </c>
      <c r="H16" s="29">
        <f t="shared" si="1"/>
        <v>70884.281644393544</v>
      </c>
      <c r="I16" s="82">
        <v>24.802364120406065</v>
      </c>
      <c r="K16" t="s">
        <v>27</v>
      </c>
      <c r="L16">
        <v>4</v>
      </c>
      <c r="M16">
        <v>216254571.19811219</v>
      </c>
      <c r="N16">
        <v>54063642.799528047</v>
      </c>
    </row>
    <row r="17" spans="1:26" ht="15.75" thickBot="1" x14ac:dyDescent="0.3">
      <c r="A17" s="22"/>
      <c r="B17" s="15">
        <v>2030</v>
      </c>
      <c r="C17" s="12">
        <v>1768000</v>
      </c>
      <c r="D17" s="15"/>
      <c r="E17" s="15"/>
      <c r="F17" s="15"/>
      <c r="G17" s="12">
        <v>1768000</v>
      </c>
      <c r="H17" s="29">
        <f t="shared" si="1"/>
        <v>72674.043237985126</v>
      </c>
      <c r="I17" s="82">
        <v>25.384952213550484</v>
      </c>
      <c r="K17" s="8" t="s">
        <v>28</v>
      </c>
      <c r="L17" s="8">
        <v>5</v>
      </c>
      <c r="M17" s="8">
        <v>354467489.48100334</v>
      </c>
      <c r="N17" s="8"/>
      <c r="O17" s="8"/>
      <c r="P17" s="8"/>
      <c r="T17" s="9"/>
      <c r="U17" s="9"/>
      <c r="V17" s="9"/>
      <c r="W17" s="9"/>
      <c r="X17" s="9"/>
      <c r="Y17" s="9"/>
      <c r="Z17" s="9"/>
    </row>
    <row r="18" spans="1:26" ht="15.75" thickBot="1" x14ac:dyDescent="0.3"/>
    <row r="19" spans="1:26" x14ac:dyDescent="0.25">
      <c r="K19" s="9"/>
      <c r="L19" s="9" t="s">
        <v>35</v>
      </c>
      <c r="M19" s="9" t="s">
        <v>23</v>
      </c>
      <c r="N19" s="9" t="s">
        <v>36</v>
      </c>
      <c r="O19" s="9" t="s">
        <v>37</v>
      </c>
      <c r="P19" s="9" t="s">
        <v>38</v>
      </c>
      <c r="Q19" s="9" t="s">
        <v>39</v>
      </c>
      <c r="R19" s="9" t="s">
        <v>40</v>
      </c>
      <c r="S19" s="9" t="s">
        <v>41</v>
      </c>
    </row>
    <row r="20" spans="1:26" ht="15.75" thickBot="1" x14ac:dyDescent="0.3">
      <c r="B20" s="5"/>
      <c r="K20" t="s">
        <v>29</v>
      </c>
      <c r="L20">
        <v>16168.712926022534</v>
      </c>
      <c r="M20">
        <v>21679.887805358794</v>
      </c>
      <c r="N20">
        <v>0.74579320110807867</v>
      </c>
      <c r="O20">
        <v>0.49723403719841847</v>
      </c>
      <c r="P20">
        <v>-44024.30545240322</v>
      </c>
      <c r="Q20">
        <v>76361.731304448287</v>
      </c>
      <c r="R20">
        <v>-44024.30545240322</v>
      </c>
      <c r="S20">
        <v>76361.731304448287</v>
      </c>
      <c r="T20" s="8"/>
      <c r="U20" s="8"/>
      <c r="V20" s="8"/>
      <c r="W20" s="8"/>
      <c r="X20" s="8"/>
      <c r="Y20" s="8"/>
      <c r="Z20" s="8"/>
    </row>
    <row r="21" spans="1:26" ht="15.75" thickBot="1" x14ac:dyDescent="0.3">
      <c r="K21" s="8" t="s">
        <v>42</v>
      </c>
      <c r="L21" s="8">
        <v>3.1960028456992418E-2</v>
      </c>
      <c r="M21" s="8">
        <v>1.9988743330936518E-2</v>
      </c>
      <c r="N21" s="8">
        <v>1.5989013380109782</v>
      </c>
      <c r="O21" s="8">
        <v>0.18508853564821889</v>
      </c>
      <c r="P21" s="8">
        <v>-2.3537620123241315E-2</v>
      </c>
      <c r="Q21" s="8">
        <v>8.745767703722615E-2</v>
      </c>
      <c r="R21" s="8">
        <v>-2.3537620123241315E-2</v>
      </c>
      <c r="S21" s="8">
        <v>8.745767703722615E-2</v>
      </c>
    </row>
    <row r="22" spans="1:26" x14ac:dyDescent="0.25">
      <c r="B22" s="6" t="s">
        <v>53</v>
      </c>
      <c r="C22" s="7"/>
    </row>
    <row r="24" spans="1:26" x14ac:dyDescent="0.25">
      <c r="E24" s="49"/>
    </row>
    <row r="26" spans="1:26" ht="15.75" thickBot="1" x14ac:dyDescent="0.3">
      <c r="B26" t="s">
        <v>18</v>
      </c>
      <c r="K26" s="8"/>
      <c r="L26" s="8"/>
      <c r="M26" s="8"/>
      <c r="N26" s="8"/>
      <c r="O26" s="8"/>
      <c r="P26" s="8"/>
    </row>
    <row r="27" spans="1:26" ht="15.75" thickBot="1" x14ac:dyDescent="0.3"/>
    <row r="28" spans="1:26" x14ac:dyDescent="0.25">
      <c r="B28" s="10" t="s">
        <v>19</v>
      </c>
      <c r="C28" s="10"/>
      <c r="K28" s="9"/>
      <c r="L28" s="9"/>
      <c r="M28" s="9"/>
      <c r="N28" s="9"/>
      <c r="O28" s="9"/>
      <c r="P28" s="9"/>
      <c r="Q28" s="9"/>
      <c r="R28" s="9"/>
      <c r="S28" s="9"/>
    </row>
    <row r="29" spans="1:26" x14ac:dyDescent="0.25">
      <c r="B29" t="s">
        <v>20</v>
      </c>
      <c r="C29">
        <v>0.9089245932178116</v>
      </c>
    </row>
    <row r="30" spans="1:26" ht="15.75" thickBot="1" x14ac:dyDescent="0.3">
      <c r="B30" t="s">
        <v>21</v>
      </c>
      <c r="C30">
        <v>0.82614391615616434</v>
      </c>
      <c r="K30" s="8"/>
      <c r="L30" s="8"/>
      <c r="M30" s="8"/>
      <c r="N30" s="8"/>
      <c r="O30" s="8"/>
      <c r="P30" s="8"/>
      <c r="Q30" s="8"/>
      <c r="R30" s="8"/>
      <c r="S30" s="8"/>
    </row>
    <row r="31" spans="1:26" x14ac:dyDescent="0.25">
      <c r="B31" t="s">
        <v>22</v>
      </c>
      <c r="C31">
        <v>0.71023986026027386</v>
      </c>
    </row>
    <row r="32" spans="1:26" x14ac:dyDescent="0.25">
      <c r="B32" t="s">
        <v>23</v>
      </c>
      <c r="C32">
        <v>1.0447152050613133</v>
      </c>
    </row>
    <row r="33" spans="2:12" ht="15.75" thickBot="1" x14ac:dyDescent="0.3">
      <c r="B33" s="8" t="s">
        <v>24</v>
      </c>
      <c r="C33" s="8">
        <v>6</v>
      </c>
    </row>
    <row r="35" spans="2:12" ht="15.75" thickBot="1" x14ac:dyDescent="0.3">
      <c r="B35" t="s">
        <v>25</v>
      </c>
    </row>
    <row r="36" spans="2:12" x14ac:dyDescent="0.25">
      <c r="B36" s="9"/>
      <c r="C36" s="9" t="s">
        <v>30</v>
      </c>
      <c r="D36" s="9" t="s">
        <v>31</v>
      </c>
      <c r="E36" s="9" t="s">
        <v>32</v>
      </c>
      <c r="F36" s="9" t="s">
        <v>33</v>
      </c>
      <c r="G36" s="9" t="s">
        <v>34</v>
      </c>
    </row>
    <row r="37" spans="2:12" x14ac:dyDescent="0.25">
      <c r="B37" t="s">
        <v>26</v>
      </c>
      <c r="C37">
        <v>2</v>
      </c>
      <c r="D37">
        <v>15.55904375427443</v>
      </c>
      <c r="E37">
        <v>7.7795218771372152</v>
      </c>
      <c r="F37">
        <v>7.1278257673591598</v>
      </c>
      <c r="G37">
        <v>7.2491124918696484E-2</v>
      </c>
    </row>
    <row r="38" spans="2:12" x14ac:dyDescent="0.25">
      <c r="B38" t="s">
        <v>27</v>
      </c>
      <c r="C38">
        <v>3</v>
      </c>
      <c r="D38">
        <v>3.2742895790589057</v>
      </c>
      <c r="E38">
        <v>1.0914298596863019</v>
      </c>
    </row>
    <row r="39" spans="2:12" ht="15.75" thickBot="1" x14ac:dyDescent="0.3">
      <c r="B39" s="8" t="s">
        <v>28</v>
      </c>
      <c r="C39" s="8">
        <v>5</v>
      </c>
      <c r="D39" s="8">
        <v>18.833333333333336</v>
      </c>
      <c r="E39" s="8"/>
      <c r="F39" s="8"/>
      <c r="G39" s="8"/>
    </row>
    <row r="40" spans="2:12" ht="15.75" thickBot="1" x14ac:dyDescent="0.3"/>
    <row r="41" spans="2:12" x14ac:dyDescent="0.25">
      <c r="B41" s="9"/>
      <c r="C41" s="9" t="s">
        <v>35</v>
      </c>
      <c r="D41" s="9" t="s">
        <v>23</v>
      </c>
      <c r="E41" s="9" t="s">
        <v>36</v>
      </c>
      <c r="F41" s="9" t="s">
        <v>37</v>
      </c>
      <c r="G41" s="9" t="s">
        <v>38</v>
      </c>
      <c r="H41" s="9" t="s">
        <v>39</v>
      </c>
      <c r="I41" s="9" t="s">
        <v>40</v>
      </c>
      <c r="J41" s="9" t="s">
        <v>41</v>
      </c>
      <c r="K41" s="9"/>
      <c r="L41" s="9"/>
    </row>
    <row r="42" spans="2:12" x14ac:dyDescent="0.25">
      <c r="B42" t="s">
        <v>29</v>
      </c>
      <c r="C42">
        <v>5.9404826140357434</v>
      </c>
      <c r="D42">
        <v>3.2875627048299658</v>
      </c>
      <c r="E42">
        <v>1.8069564438446164</v>
      </c>
      <c r="F42">
        <v>0.16850267973713506</v>
      </c>
      <c r="G42">
        <v>-4.5220091693388982</v>
      </c>
      <c r="H42">
        <v>16.402974397410386</v>
      </c>
      <c r="I42">
        <v>-4.5220091693388982</v>
      </c>
      <c r="J42">
        <v>16.402974397410386</v>
      </c>
    </row>
    <row r="43" spans="2:12" x14ac:dyDescent="0.25">
      <c r="B43" t="s">
        <v>42</v>
      </c>
      <c r="C43">
        <v>8.3252356933236726E-6</v>
      </c>
      <c r="D43">
        <v>3.6361041215753359E-6</v>
      </c>
      <c r="E43">
        <v>2.2896032167848865</v>
      </c>
      <c r="F43">
        <v>0.10599503924223005</v>
      </c>
      <c r="G43">
        <v>-3.2464704340106221E-6</v>
      </c>
      <c r="H43">
        <v>1.9896941820657969E-5</v>
      </c>
      <c r="I43">
        <v>-3.2464704340106221E-6</v>
      </c>
      <c r="J43">
        <v>1.9896941820657969E-5</v>
      </c>
    </row>
    <row r="44" spans="2:12" ht="15.75" thickBot="1" x14ac:dyDescent="0.3">
      <c r="B44" s="8" t="s">
        <v>43</v>
      </c>
      <c r="C44" s="8">
        <v>6.5022567662075456E-5</v>
      </c>
      <c r="D44" s="8">
        <v>7.104201440266728E-5</v>
      </c>
      <c r="E44" s="8">
        <v>0.91526919962497821</v>
      </c>
      <c r="F44" s="8">
        <v>0.42754197027908442</v>
      </c>
      <c r="G44" s="8">
        <v>-1.6106482859360507E-4</v>
      </c>
      <c r="H44" s="8">
        <v>2.9110996391775601E-4</v>
      </c>
      <c r="I44" s="8">
        <v>-1.6106482859360507E-4</v>
      </c>
      <c r="J44" s="8">
        <v>2.9110996391775601E-4</v>
      </c>
      <c r="K44" s="8"/>
      <c r="L44" s="8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прогноз ЧН</vt:lpstr>
      <vt:lpstr>кол-во врачей</vt:lpstr>
      <vt:lpstr>заболев. сбор</vt:lpstr>
      <vt:lpstr>прогноз врачей</vt:lpstr>
      <vt:lpstr>урологи</vt:lpstr>
      <vt:lpstr>нейрохирурги (2)</vt:lpstr>
      <vt:lpstr>кардиохирурги</vt:lpstr>
      <vt:lpstr>детские хирурги </vt:lpstr>
      <vt:lpstr>общие хирурги</vt:lpstr>
      <vt:lpstr>АиР </vt:lpstr>
      <vt:lpstr>ангиохирурги</vt:lpstr>
      <vt:lpstr>гастроэнтерол новое</vt:lpstr>
      <vt:lpstr>акушерство и гинек  новое</vt:lpstr>
      <vt:lpstr>гематология взросл новое</vt:lpstr>
      <vt:lpstr>генетики новое</vt:lpstr>
      <vt:lpstr>дерматология  новое</vt:lpstr>
      <vt:lpstr>инфекционные болезни новое</vt:lpstr>
      <vt:lpstr>кардиология  новое</vt:lpstr>
      <vt:lpstr>неврология  новое</vt:lpstr>
      <vt:lpstr>нефрология новое</vt:lpstr>
      <vt:lpstr>эндокринология новое</vt:lpstr>
      <vt:lpstr>травматология и ортоп (2)</vt:lpstr>
      <vt:lpstr>пульмонология новое</vt:lpstr>
      <vt:lpstr>психиатры новое</vt:lpstr>
      <vt:lpstr>оториноларингология новое</vt:lpstr>
      <vt:lpstr>офтальмология новое</vt:lpstr>
      <vt:lpstr>онкология и гем дет новое</vt:lpstr>
      <vt:lpstr>онкология взрослая новое</vt:lpstr>
      <vt:lpstr>ревматологи новое</vt:lpstr>
      <vt:lpstr>неонатологи новое  (2)</vt:lpstr>
      <vt:lpstr>аллергологи новое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2023-10-30T04:47:40Z</dcterms:modified>
</cp:coreProperties>
</file>